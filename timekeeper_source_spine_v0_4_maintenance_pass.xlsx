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c8b665df774a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 v0.4" sheetId="1" r:id="R8ac7fb1927f44a5c"/>
    <x:sheet xmlns:r="http://schemas.openxmlformats.org/officeDocument/2006/relationships" name="Maintenance Ledger" sheetId="2" r:id="R900062ff0c9b4769"/>
    <x:sheet xmlns:r="http://schemas.openxmlformats.org/officeDocument/2006/relationships" name="Source Register" sheetId="3" r:id="R1e6e086dd7864dfd"/>
    <x:sheet xmlns:r="http://schemas.openxmlformats.org/officeDocument/2006/relationships" name="Change Log" sheetId="4" r:id="R7f4018e9fc6c4a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245B2A"/>
      <x:name val="Carlito"/>
    </x:font>
    <x:font>
      <x:b/>
      <x:sz val="11"/>
      <x:color rgb="FF344054"/>
      <x:name val="Carlito"/>
    </x:font>
    <x:font>
      <x:i/>
      <x:sz val="11"/>
      <x:color rgb="FF344054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2033"/>
      </x:patternFill>
    </x:fill>
    <x:fill>
      <x:patternFill patternType="solid">
        <x:fgColor rgb="FF344054"/>
      </x:patternFill>
    </x:fill>
    <x:fill>
      <x:patternFill patternType="solid">
        <x:fgColor rgb="FFD9EAD3"/>
      </x:patternFill>
    </x:fill>
    <x:fill>
      <x:patternFill patternType="solid">
        <x:fgColor rgb="FFE7ECF3"/>
      </x:patternFill>
    </x:fill>
    <x:fill>
      <x:patternFill patternType="solid">
        <x:fgColor rgb="FFF2F4F7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8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1" fillId="2" borderId="10" xfId="0" applyNumberFormat="1" applyFont="1" applyFill="1" applyBorder="1" applyAlignment="1">
      <x:alignment horizontal="center" vertical="center"/>
    </x:xf>
    <x:xf numFmtId="0" fontId="1" fillId="2" borderId="11" xfId="0" applyNumberFormat="1" applyFont="1" applyFill="1" applyBorder="1" applyAlignment="1">
      <x:alignment horizontal="center" vertical="center"/>
    </x:xf>
    <x:xf numFmtId="0" fontId="1" fillId="2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4" borderId="8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horizontal="center" wrapText="1"/>
    </x:xf>
    <x:xf numFmtId="0" fontId="0" fillId="4" borderId="16" xfId="0" applyNumberFormat="1" applyFont="1" applyFill="1" applyBorder="1" applyAlignment="1">
      <x:alignment wrapText="1"/>
    </x:xf>
    <x:xf numFmtId="0" fontId="3" fillId="4" borderId="16" xfId="0" applyNumberFormat="1" applyFont="1" applyFill="1" applyBorder="1" applyAlignment="1">
      <x:alignment wrapText="1"/>
    </x:xf>
    <x:xf numFmtId="0" fontId="3" fillId="4" borderId="16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2" xfId="0" applyNumberFormat="1" applyFont="1" applyFill="1" applyBorder="1" applyAlignment="1">
      <x:alignment horizontal="center" wrapText="1"/>
    </x:xf>
    <x:xf numFmtId="0" fontId="1" fillId="3" borderId="3" xfId="0" applyNumberFormat="1" applyFont="1" applyFill="1" applyBorder="1" applyAlignment="1">
      <x:alignment horizontal="center" wrapText="1"/>
    </x:xf>
    <x:xf numFmtId="0" fontId="1" fillId="3" borderId="4" xfId="0" applyNumberFormat="1" applyFont="1" applyFill="1" applyBorder="1" applyAlignment="1">
      <x:alignment horizontal="center" wrapText="1"/>
    </x:xf>
    <x:xf numFmtId="0" fontId="1" fillId="3" borderId="10" xfId="0" applyNumberFormat="1" applyFont="1" applyFill="1" applyBorder="1" applyAlignment="1">
      <x:alignment horizontal="center" wrapText="1"/>
    </x:xf>
    <x:xf numFmtId="0" fontId="1" fillId="3" borderId="11" xfId="0" applyNumberFormat="1" applyFont="1" applyFill="1" applyBorder="1" applyAlignment="1">
      <x:alignment horizontal="center" wrapText="1"/>
    </x:xf>
    <x:xf numFmtId="0" fontId="1" fillId="3" borderId="12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</x:cellXfs>
  <x:cellStyles count="1">
    <x:cellStyle name="Normal" xfId="0"/>
  </x:cellStyles>
  <x:dxfs count="9">
    <x:dxf>
      <x:font>
        <x:b/>
        <x:color rgb="FF245B2A"/>
      </x:font>
      <x:fill>
        <x:patternFill patternType="solid">
          <x:bgColor rgb="FFD9EAD3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344054"/>
      </x:font>
      <x:fill>
        <x:patternFill patternType="solid">
          <x:bgColor rgb="FFF2F4F7"/>
        </x:patternFill>
      </x:fill>
    </x:dxf>
    <x:dxf>
      <x:font>
        <x:b/>
        <x:color rgb="FF245B2A"/>
      </x:font>
      <x:fill>
        <x:patternFill patternType="solid">
          <x:bgColor rgb="FFD9EAD3"/>
        </x:patternFill>
      </x:fill>
    </x:dxf>
    <x:dxf>
      <x:font>
        <x:b/>
        <x:color rgb="FF8A1C1C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245B2A"/>
      </x:font>
      <x:fill>
        <x:patternFill patternType="solid">
          <x:bgColor rgb="FFD9EAD3"/>
        </x:patternFill>
      </x:fill>
    </x:dxf>
    <x:dxf>
      <x:font>
        <x:b/>
        <x:color rgb="FF8A1C1C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9acb4f5bca412c" /><Relationship Type="http://schemas.openxmlformats.org/officeDocument/2006/relationships/theme" Target="/xl/theme/theme1.xml" Id="R0b243d8c5ba549f0" /><Relationship Type="http://schemas.openxmlformats.org/officeDocument/2006/relationships/sharedStrings" Target="/xl/sharedStrings.xml" Id="Ree1299b7af2f4b0d" /><Relationship Type="http://schemas.openxmlformats.org/officeDocument/2006/relationships/worksheet" Target="/xl/worksheets/sheet1.xml" Id="R8ac7fb1927f44a5c" /><Relationship Type="http://schemas.openxmlformats.org/officeDocument/2006/relationships/worksheet" Target="/xl/worksheets/sheet2.xml" Id="R900062ff0c9b4769" /><Relationship Type="http://schemas.openxmlformats.org/officeDocument/2006/relationships/worksheet" Target="/xl/worksheets/sheet3.xml" Id="R1e6e086dd7864dfd" /><Relationship Type="http://schemas.openxmlformats.org/officeDocument/2006/relationships/worksheet" Target="/xl/worksheets/sheet4.xml" Id="R7f4018e9fc6c4acc" /></Relationships>
</file>

<file path=xl/tables/table1.xml><?xml version="1.0" encoding="utf-8"?>
<x:table xmlns:x="http://schemas.openxmlformats.org/spreadsheetml/2006/main" id="2" name="MaintenanceLedgerTable" displayName="MaintenanceLedgerTable" ref="A1:J8" headerRowCount="1">
  <x:tableColumns count="10">
    <x:tableColumn id="1" name="Packet"/>
    <x:tableColumn id="2" name="Node"/>
    <x:tableColumn id="3" name="Prior Top Gap"/>
    <x:tableColumn id="4" name="Maintenance Finding — 2026-07-25"/>
    <x:tableColumn id="5" name="Best Source Lane"/>
    <x:tableColumn id="6" name="Confidence"/>
    <x:tableColumn id="7" name="Status"/>
    <x:tableColumn id="8" name="Brake / Limitation"/>
    <x:tableColumn id="9" name="Next Check"/>
    <x:tableColumn id="10" name="Next Action"/>
  </x:tableColumns>
  <x:tableStyleInfo name="TableStyleMedium2" showRowStripes="1"/>
</x:table>
</file>

<file path=xl/tables/table2.xml><?xml version="1.0" encoding="utf-8"?>
<x:table xmlns:x="http://schemas.openxmlformats.org/spreadsheetml/2006/main" id="1" name="SourceRegisterTable" displayName="SourceRegisterTable" ref="A1:I19" headerRowCount="1">
  <x:tableColumns count="9">
    <x:tableColumn id="1" name="Source ID"/>
    <x:tableColumn id="2" name="Packet"/>
    <x:tableColumn id="3" name="Source Class"/>
    <x:tableColumn id="4" name="Publisher"/>
    <x:tableColumn id="5" name="Date"/>
    <x:tableColumn id="6" name="Title"/>
    <x:tableColumn id="7" name="Load-Bearing Finding"/>
    <x:tableColumn id="8" name="Load-Bearing?"/>
    <x:tableColumn id="9" name="URL"/>
  </x:tableColumns>
  <x:tableStyleInfo name="TableStyleMedium2" showRowStripes="1"/>
</x:table>
</file>

<file path=xl/tables/table3.xml><?xml version="1.0" encoding="utf-8"?>
<x:table xmlns:x="http://schemas.openxmlformats.org/spreadsheetml/2006/main" id="3" name="ChangeLogTable" displayName="ChangeLogTable" ref="A1:E8" headerRowCount="1">
  <x:tableColumns count="5">
    <x:tableColumn id="1" name="Date"/>
    <x:tableColumn id="2" name="Version"/>
    <x:tableColumn id="3" name="Packet"/>
    <x:tableColumn id="4" name="Change"/>
    <x:tableColumn id="5" name="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db28f9f8c3d4b0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c311a4ee9d848a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85b9cdab5f84c85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38" hidden="0" customWidth="1"/>
    <x:col min="4" max="4" width="3" hidden="0" customWidth="1"/>
    <x:col min="5" max="5" width="9" hidden="0" customWidth="1"/>
    <x:col min="6" max="6" width="27" hidden="0" customWidth="1"/>
    <x:col min="7" max="7" width="25" hidden="0" customWidth="1"/>
    <x:col min="8" max="8" width="14" hidden="0" customWidth="1"/>
    <x:col min="9" max="9" width="13" hidden="0" customWidth="1"/>
    <x:col min="10" max="10" width="65" hidden="0" customWidth="1"/>
  </x:cols>
  <x:sheetData>
    <x:row r="1" ht="30" customHeight="1">
      <x:c r="A1" s="34" t="str">
        <x:v>TIMEKEEPER INVESTIGATOR — SOURCE SPINE v0.4 MAINTENANCE PASS</x:v>
      </x:c>
      <x:c r="B1" s="34"/>
      <x:c r="C1" s="34"/>
      <x:c r="D1" s="34"/>
      <x:c r="E1" s="34"/>
      <x:c r="F1" s="34"/>
      <x:c r="G1" s="34"/>
      <x:c r="H1" s="34"/>
      <x:c r="I1" s="34"/>
      <x:c r="J1" s="34"/>
    </x:row>
    <x:row r="2" ht="22" customHeight="1">
      <x:c r="A2" s="41" t="str">
        <x:v>Run date: 2026-07-25 · source-hardening, deadline roll-forward, live-node check, and lane preservation</x:v>
      </x:c>
      <x:c r="B2" s="41"/>
      <x:c r="C2" s="41"/>
      <x:c r="D2" s="41"/>
      <x:c r="E2" s="41"/>
      <x:c r="F2" s="41"/>
      <x:c r="G2" s="41"/>
      <x:c r="H2" s="41"/>
      <x:c r="I2" s="41"/>
      <x:c r="J2" s="41"/>
    </x:row>
    <x:row r="4">
      <x:c r="A4" s="4" t="str">
        <x:v>KPI</x:v>
      </x:c>
      <x:c r="B4" s="4"/>
      <x:c r="C4" s="4"/>
      <x:c r="E4" s="4" t="str">
        <x:v>Packet Maintenance Summary</x:v>
      </x:c>
      <x:c r="F4" s="4"/>
      <x:c r="G4" s="4"/>
      <x:c r="H4" s="4"/>
      <x:c r="I4" s="4"/>
      <x:c r="J4" s="4"/>
    </x:row>
    <x:row r="5">
      <x:c r="A5" s="46" t="str">
        <x:v>Sources in maintenance pass</x:v>
      </x:c>
      <x:c r="B5" s="47" t="n">
        <x:f>COUNTA('Source Register'!A2:A100)</x:f>
        <x:v>18</x:v>
      </x:c>
      <x:c r="C5" s="48" t="str">
        <x:v>Count from Source Register</x:v>
      </x:c>
      <x:c r="E5" s="66" t="str">
        <x:v>Packet</x:v>
      </x:c>
      <x:c r="F5" s="67" t="str">
        <x:v>Node</x:v>
      </x:c>
      <x:c r="G5" s="67" t="str">
        <x:v>Status</x:v>
      </x:c>
      <x:c r="H5" s="67" t="str">
        <x:v>Confidence</x:v>
      </x:c>
      <x:c r="I5" s="67" t="str">
        <x:v>Next Check</x:v>
      </x:c>
      <x:c r="J5" s="68" t="str">
        <x:v>Clean Finding</x:v>
      </x:c>
    </x:row>
    <x:row r="6">
      <x:c r="A6" s="17" t="str">
        <x:v>Load-bearing sources</x:v>
      </x:c>
      <x:c r="B6" s="10" t="n">
        <x:f>COUNTIF('Source Register'!H2:H100,"Yes")</x:f>
        <x:v>9</x:v>
      </x:c>
      <x:c r="C6" s="18" t="str">
        <x:v>Yes only</x:v>
      </x:c>
      <x:c r="E6" s="17" t="str">
        <x:v>A</x:v>
      </x:c>
      <x:c r="F6" s="10" t="str">
        <x:v>Grid / utility cost allocation</x:v>
      </x:c>
      <x:c r="G6" s="10" t="str">
        <x:v>UPGRADED</x:v>
      </x:c>
      <x:c r="H6" s="10" t="str">
        <x:v>High</x:v>
      </x:c>
      <x:c r="I6" s="12" t="n">
        <x:v>46251</x:v>
      </x:c>
      <x:c r="J6" s="18" t="str">
        <x:v>FERC show-cause orders plus Wisconsin and Pennsylvania decisions now provide primary-source dockets and explicit ratepayer-protection mechanisms.</x:v>
      </x:c>
    </x:row>
    <x:row r="7">
      <x:c r="A7" s="17" t="str">
        <x:v>Primary / official sources</x:v>
      </x:c>
      <x:c r="B7" s="10" t="n">
        <x:f>COUNTIF('Source Register'!C2:C100,"Primary/Official")</x:f>
        <x:v>12</x:v>
      </x:c>
      <x:c r="C7" s="18" t="str">
        <x:v>Government, regulator, company primary</x:v>
      </x:c>
      <x:c r="E7" s="17" t="str">
        <x:v>B</x:v>
      </x:c>
      <x:c r="F7" s="10" t="str">
        <x:v>Network delivery / AI-native communications</x:v>
      </x:c>
      <x:c r="G7" s="10" t="str">
        <x:v>HARDENED / SCOPE OPEN</x:v>
      </x:c>
      <x:c r="H7" s="10" t="str">
        <x:v>Medium</x:v>
      </x:c>
      <x:c r="I7" s="12" t="n">
        <x:v>46296</x:v>
      </x:c>
      <x:c r="J7" s="18" t="str">
        <x:v>Official standards material now confirms AI/ML is entering network architecture and 6G security analysis. Exact packet claim was not recoverable from the supplied dashboard, so scope remains bounded.</x:v>
      </x:c>
    </x:row>
    <x:row r="8">
      <x:c r="A8" s="17" t="str">
        <x:v>Packets upgraded / confirmed</x:v>
      </x:c>
      <x:c r="B8" s="10" t="n">
        <x:f>COUNTIF('Maintenance Ledger'!G2:G100,"UPGRADED")+COUNTIF('Maintenance Ledger'!G2:G100,"CONFIRMED / EPISODE CLOSED")+COUNTIF('Maintenance Ledger'!G2:G100,"DONE / MONITOR")</x:f>
        <x:v>3</x:v>
      </x:c>
      <x:c r="C8" s="18" t="str">
        <x:v>Status contains UPGRADED, CONFIRMED, or DONE</x:v>
      </x:c>
      <x:c r="E8" s="17" t="str">
        <x:v>C</x:v>
      </x:c>
      <x:c r="F8" s="10" t="str">
        <x:v>Model access and state power</x:v>
      </x:c>
      <x:c r="G8" s="10" t="str">
        <x:v>CONFIRMED / EPISODE CLOSED</x:v>
      </x:c>
      <x:c r="H8" s="10" t="str">
        <x:v>High</x:v>
      </x:c>
      <x:c r="I8" s="12" t="n">
        <x:v>46256</x:v>
      </x:c>
      <x:c r="J8" s="18" t="str">
        <x:v>The access suspension and restoration are confirmed by Anthropic. The direct government letter/legal authority remains unavailable publicly; the episode is real but temporary.</x:v>
      </x:c>
    </x:row>
    <x:row r="9">
      <x:c r="A9" s="17" t="str">
        <x:v>Packets still partial / open</x:v>
      </x:c>
      <x:c r="B9" s="10" t="n">
        <x:f>COUNTIF('Maintenance Ledger'!G2:G100,"HARDENED / SCOPE OPEN")+COUNTIF('Maintenance Ledger'!G2:G100,"STRENGTHENED / PARTIAL")+COUNTIF('Maintenance Ledger'!G2:G100,"UNCHANGED / ARCHIVE ONLY")</x:f>
        <x:v>3</x:v>
      </x:c>
      <x:c r="C9" s="18" t="str">
        <x:v>Scope, partial, or archive-only</x:v>
      </x:c>
      <x:c r="E9" s="17" t="str">
        <x:v>D</x:v>
      </x:c>
      <x:c r="F9" s="10" t="str">
        <x:v>Stargate / compute material substrate</x:v>
      </x:c>
      <x:c r="G9" s="10" t="str">
        <x:v>STRENGTHENED / PARTIAL</x:v>
      </x:c>
      <x:c r="H9" s="10" t="str">
        <x:v>Medium-High</x:v>
      </x:c>
      <x:c r="I9" s="12" t="n">
        <x:v>46265</x:v>
      </x:c>
      <x:c r="J9" s="18" t="str">
        <x:v>Official project pages now provide site-specific power figures and commitments; Project Jupiter has a permit artifact. Claims about actual impacts still require regulator and permit records, not company pledges alone.</x:v>
      </x:c>
    </x:row>
    <x:row r="10">
      <x:c r="A10" s="17" t="str">
        <x:v>Live high-risk nodes</x:v>
      </x:c>
      <x:c r="B10" s="10" t="n">
        <x:f>COUNTIF('Maintenance Ledger'!G2:G100,"LIVE / HIGH RISK")</x:f>
        <x:v>1</x:v>
      </x:c>
      <x:c r="C10" s="18" t="str">
        <x:v>Status contains LIVE</x:v>
      </x:c>
      <x:c r="E10" s="17" t="str">
        <x:v>E</x:v>
      </x:c>
      <x:c r="F10" s="10" t="str">
        <x:v>Hormuz / energy chokepoint</x:v>
      </x:c>
      <x:c r="G10" s="10" t="str">
        <x:v>LIVE / HIGH RISK</x:v>
      </x:c>
      <x:c r="H10" s="10" t="str">
        <x:v>High</x:v>
      </x:c>
      <x:c r="I10" s="12" t="n">
        <x:v>46235</x:v>
      </x:c>
      <x:c r="J10" s="18" t="str">
        <x:v>The MARAD advisory remains active and explicitly rates attack risk as high. Industry traffic reporting indicates renewed deterioration rather than normalization.</x:v>
      </x:c>
    </x:row>
    <x:row r="11">
      <x:c r="A11" s="19" t="str">
        <x:v>Run verdict</x:v>
      </x:c>
      <x:c r="B11" s="54" t="str">
        <x:v>GREEN / RUNNABLE</x:v>
      </x:c>
      <x:c r="C11" s="22" t="str">
        <x:v>Source spine strengthened; no lane mixing required.</x:v>
      </x:c>
      <x:c r="E11" s="17" t="str">
        <x:v>F</x:v>
      </x:c>
      <x:c r="F11" s="10" t="str">
        <x:v>Dialog / private future rooms</x:v>
      </x:c>
      <x:c r="G11" s="10" t="str">
        <x:v>UNCHANGED / ARCHIVE ONLY</x:v>
      </x:c>
      <x:c r="H11" s="10" t="str">
        <x:v>Medium</x:v>
      </x:c>
      <x:c r="I11" s="12" t="n">
        <x:v>46250</x:v>
      </x:c>
      <x:c r="J11" s="18" t="str">
        <x:v>The network and leaked records are supported by established reporting, but no public primary archive resolves the 222 count, cap, snapshot status, or registry mechanics.</x:v>
      </x:c>
    </x:row>
    <x:row r="12">
      <x:c r="E12" s="19" t="str">
        <x:v>X</x:v>
      </x:c>
      <x:c r="F12" s="20" t="str">
        <x:v>Archive / transcript integrity</x:v>
      </x:c>
      <x:c r="G12" s="20" t="str">
        <x:v>DONE / MONITOR</x:v>
      </x:c>
      <x:c r="H12" s="20" t="str">
        <x:v>High</x:v>
      </x:c>
      <x:c r="I12" s="21" t="n">
        <x:v>46259</x:v>
      </x:c>
      <x:c r="J12" s="22" t="str">
        <x:v>Method brake remains complete. No external evidence was introduced that changes the archive-anomaly default explanations.</x:v>
      </x:c>
    </x:row>
    <x:row r="14">
      <x:c r="A14" s="4" t="str">
        <x:v>Maintenance Verdict</x:v>
      </x:c>
      <x:c r="B14" s="4"/>
      <x:c r="C14" s="4"/>
      <x:c r="D14" s="4"/>
      <x:c r="E14" s="4"/>
      <x:c r="F14" s="4"/>
      <x:c r="G14" s="4"/>
      <x:c r="H14" s="4"/>
      <x:c r="I14" s="4"/>
      <x:c r="J14" s="4"/>
    </x:row>
    <x:row r="15" ht="54" customHeight="1">
      <x:c r="A15" s="74" t="str">
        <x:v>A is materially upgraded. C is confirmed as a real but temporary access-control episode. D is stronger but still needs independent permit and utility records. E remains the live high-risk node. F stays leak/reporting-only. B now has standards anchors but cannot be promoted until its exact proposition is restored.</x:v>
      </x:c>
      <x:c r="B15" s="74"/>
      <x:c r="C15" s="74"/>
      <x:c r="D15" s="74"/>
      <x:c r="E15" s="74"/>
      <x:c r="F15" s="74"/>
      <x:c r="G15" s="74"/>
      <x:c r="H15" s="74"/>
      <x:c r="I15" s="74"/>
      <x:c r="J15" s="74"/>
    </x:row>
    <x:row r="17">
      <x:c r="A17" s="40" t="str">
        <x:v>Operating Rule</x:v>
      </x:c>
      <x:c r="B17" s="40"/>
      <x:c r="C17" s="40"/>
      <x:c r="D17" s="40"/>
      <x:c r="E17" s="40"/>
      <x:c r="F17" s="40"/>
      <x:c r="G17" s="40"/>
      <x:c r="H17" s="40"/>
      <x:c r="I17" s="40"/>
      <x:c r="J17" s="40"/>
    </x:row>
    <x:row r="18" ht="40" customHeight="1">
      <x:c r="A18" s="80" t="str">
        <x:v>Cross-packet links may assert shared material substrate, never shared agency. Company commitments remain artifacts until regulators, permits, contracts, or measured outcomes test them.</x:v>
      </x:c>
      <x:c r="B18" s="80"/>
      <x:c r="C18" s="80"/>
      <x:c r="D18" s="80"/>
      <x:c r="E18" s="80"/>
      <x:c r="F18" s="80"/>
      <x:c r="G18" s="80"/>
      <x:c r="H18" s="80"/>
      <x:c r="I18" s="80"/>
      <x:c r="J18" s="80"/>
    </x:row>
  </x:sheetData>
  <x:mergeCells>
    <x:mergeCell ref="A1:J1"/>
    <x:mergeCell ref="A2:J2"/>
    <x:mergeCell ref="A4:C4"/>
    <x:mergeCell ref="E4:J4"/>
    <x:mergeCell ref="A14:J14"/>
    <x:mergeCell ref="A15:J15"/>
    <x:mergeCell ref="A17:J17"/>
    <x:mergeCell ref="A18:J18"/>
  </x:mergeCells>
  <x:conditionalFormatting sqref="G6:G12">
    <x:cfRule type="expression" dxfId="6" priority="1">
      <x:formula>OR(ISNUMBER(SEARCH("UPGRADED",G6)),ISNUMBER(SEARCH("CONFIRMED",G6)),ISNUMBER(SEARCH("DONE",G6)))</x:formula>
    </x:cfRule>
    <x:cfRule type="expression" dxfId="7" priority="2">
      <x:formula>ISNUMBER(SEARCH("LIVE",G6))</x:formula>
    </x:cfRule>
    <x:cfRule type="expression" dxfId="8" priority="3">
      <x:formula>OR(ISNUMBER(SEARCH("PARTIAL",G6)),ISNUMBER(SEARCH("OPEN",G6)),ISNUMBER(SEARCH("UNCHANGED",G6)))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30" hidden="0" customWidth="1"/>
    <x:col min="4" max="4" width="62" hidden="0" customWidth="1"/>
    <x:col min="5" max="5" width="20" hidden="0" customWidth="1"/>
    <x:col min="6" max="6" width="14" hidden="0" customWidth="1"/>
    <x:col min="7" max="7" width="26" hidden="0" customWidth="1"/>
    <x:col min="8" max="8" width="48" hidden="0" customWidth="1"/>
    <x:col min="9" max="9" width="13" hidden="0" customWidth="1"/>
    <x:col min="10" max="10" width="50" hidden="0" customWidth="1"/>
  </x:cols>
  <x:sheetData>
    <x:row r="1">
      <x:c r="A1" s="14" t="str">
        <x:v>Packet</x:v>
      </x:c>
      <x:c r="B1" s="15" t="str">
        <x:v>Node</x:v>
      </x:c>
      <x:c r="C1" s="15" t="str">
        <x:v>Prior Top Gap</x:v>
      </x:c>
      <x:c r="D1" s="15" t="str">
        <x:v>Maintenance Finding — 2026-07-25</x:v>
      </x:c>
      <x:c r="E1" s="15" t="str">
        <x:v>Best Source Lane</x:v>
      </x:c>
      <x:c r="F1" s="15" t="str">
        <x:v>Confidence</x:v>
      </x:c>
      <x:c r="G1" s="15" t="str">
        <x:v>Status</x:v>
      </x:c>
      <x:c r="H1" s="15" t="str">
        <x:v>Brake / Limitation</x:v>
      </x:c>
      <x:c r="I1" s="15" t="str">
        <x:v>Next Check</x:v>
      </x:c>
      <x:c r="J1" s="16" t="str">
        <x:v>Next Action</x:v>
      </x:c>
    </x:row>
    <x:row r="2">
      <x:c r="A2" s="17" t="str">
        <x:v>A</x:v>
      </x:c>
      <x:c r="B2" s="10" t="str">
        <x:v>Grid / utility cost allocation</x:v>
      </x:c>
      <x:c r="C2" s="10" t="str">
        <x:v>Utility rate cases / PUC dockets</x:v>
      </x:c>
      <x:c r="D2" s="10" t="str">
        <x:v>FERC show-cause orders plus Wisconsin and Pennsylvania decisions now provide primary-source dockets and explicit ratepayer-protection mechanisms.</x:v>
      </x:c>
      <x:c r="E2" s="10" t="str">
        <x:v>Primary/Official</x:v>
      </x:c>
      <x:c r="F2" s="10" t="str">
        <x:v>High</x:v>
      </x:c>
      <x:c r="G2" s="10" t="str">
        <x:v>UPGRADED</x:v>
      </x:c>
      <x:c r="H2" s="10" t="str">
        <x:v>Load-bearing material node; no intent claim.</x:v>
      </x:c>
      <x:c r="I2" s="12" t="n">
        <x:v>46251</x:v>
      </x:c>
      <x:c r="J2" s="18" t="str">
        <x:v>Review six RTO/ISO responses due 60 days after FERC's June 18 orders.</x:v>
      </x:c>
    </x:row>
    <x:row r="3">
      <x:c r="A3" s="17" t="str">
        <x:v>B</x:v>
      </x:c>
      <x:c r="B3" s="10" t="str">
        <x:v>Network delivery / AI-native communications</x:v>
      </x:c>
      <x:c r="C3" s="10" t="str">
        <x:v>3GPP / GSMA / FCC anchors</x:v>
      </x:c>
      <x:c r="D3" s="10" t="str">
        <x:v>Official standards material now confirms AI/ML is entering network architecture and 6G security analysis. Exact packet claim was not recoverable from the supplied dashboard, so scope remains bounded.</x:v>
      </x:c>
      <x:c r="E3" s="10" t="str">
        <x:v>Primary + Standards</x:v>
      </x:c>
      <x:c r="F3" s="10" t="str">
        <x:v>Medium</x:v>
      </x:c>
      <x:c r="G3" s="10" t="str">
        <x:v>HARDENED / SCOPE OPEN</x:v>
      </x:c>
      <x:c r="H3" s="10" t="str">
        <x:v>Do not upgrade beyond the precise packet claim.</x:v>
      </x:c>
      <x:c r="I3" s="12" t="n">
        <x:v>46296</x:v>
      </x:c>
      <x:c r="J3" s="18" t="str">
        <x:v>Map each source to the original packet-B proposition before changing load-bearing status.</x:v>
      </x:c>
    </x:row>
    <x:row r="4">
      <x:c r="A4" s="17" t="str">
        <x:v>C</x:v>
      </x:c>
      <x:c r="B4" s="10" t="str">
        <x:v>Model access and state power</x:v>
      </x:c>
      <x:c r="C4" s="10" t="str">
        <x:v>Commerce/BIS directive text</x:v>
      </x:c>
      <x:c r="D4" s="10" t="str">
        <x:v>The access suspension and restoration are confirmed by Anthropic. The direct government letter/legal authority remains unavailable publicly; the episode is real but temporary.</x:v>
      </x:c>
      <x:c r="E4" s="10" t="str">
        <x:v>Primary + Reporting</x:v>
      </x:c>
      <x:c r="F4" s="10" t="str">
        <x:v>High</x:v>
      </x:c>
      <x:c r="G4" s="10" t="str">
        <x:v>CONFIRMED / EPISODE CLOSED</x:v>
      </x:c>
      <x:c r="H4" s="10" t="str">
        <x:v>Securitization artifact; not evidence of permanent capability or motive.</x:v>
      </x:c>
      <x:c r="I4" s="12" t="n">
        <x:v>46256</x:v>
      </x:c>
      <x:c r="J4" s="18" t="str">
        <x:v>Check for public directive, legal citation, inspector-general record, or court filing.</x:v>
      </x:c>
    </x:row>
    <x:row r="5">
      <x:c r="A5" s="17" t="str">
        <x:v>D</x:v>
      </x:c>
      <x:c r="B5" s="10" t="str">
        <x:v>Stargate / compute material substrate</x:v>
      </x:c>
      <x:c r="C5" s="10" t="str">
        <x:v>Permits / power / water</x:v>
      </x:c>
      <x:c r="D5" s="10" t="str">
        <x:v>Official project pages now provide site-specific power figures and commitments; Project Jupiter has a permit artifact. Claims about actual impacts still require regulator and permit records, not company pledges alone.</x:v>
      </x:c>
      <x:c r="E5" s="10" t="str">
        <x:v>Primary/Official</x:v>
      </x:c>
      <x:c r="F5" s="10" t="str">
        <x:v>Medium-High</x:v>
      </x:c>
      <x:c r="G5" s="10" t="str">
        <x:v>STRENGTHENED / PARTIAL</x:v>
      </x:c>
      <x:c r="H5" s="10" t="str">
        <x:v>Corporate claims remain artifact status until independently tested.</x:v>
      </x:c>
      <x:c r="I5" s="12" t="n">
        <x:v>46265</x:v>
      </x:c>
      <x:c r="J5" s="18" t="str">
        <x:v>Collect Georgia Power, NMED, county zoning, water-withdrawal and interconnection records.</x:v>
      </x:c>
    </x:row>
    <x:row r="6">
      <x:c r="A6" s="17" t="str">
        <x:v>E</x:v>
      </x:c>
      <x:c r="B6" s="10" t="str">
        <x:v>Hormuz / energy chokepoint</x:v>
      </x:c>
      <x:c r="C6" s="10" t="str">
        <x:v>Insurance + advisories</x:v>
      </x:c>
      <x:c r="D6" s="10" t="str">
        <x:v>The MARAD advisory remains active and explicitly rates attack risk as high. Industry traffic reporting indicates renewed deterioration rather than normalization.</x:v>
      </x:c>
      <x:c r="E6" s="10" t="str">
        <x:v>Primary + Industry</x:v>
      </x:c>
      <x:c r="F6" s="10" t="str">
        <x:v>High</x:v>
      </x:c>
      <x:c r="G6" s="10" t="str">
        <x:v>LIVE / HIGH RISK</x:v>
      </x:c>
      <x:c r="H6" s="10" t="str">
        <x:v>Use active/restricted/high-risk language; avoid unsupported closure percentages.</x:v>
      </x:c>
      <x:c r="I6" s="12" t="n">
        <x:v>46235</x:v>
      </x:c>
      <x:c r="J6" s="18" t="str">
        <x:v>Weekly check: MARAD/UKMTO advisories, traffic, insurance and verified transit normalization.</x:v>
      </x:c>
    </x:row>
    <x:row r="7">
      <x:c r="A7" s="17" t="str">
        <x:v>F</x:v>
      </x:c>
      <x:c r="B7" s="10" t="str">
        <x:v>Dialog / private future rooms</x:v>
      </x:c>
      <x:c r="C7" s="10" t="str">
        <x:v>Dialog claim ledger</x:v>
      </x:c>
      <x:c r="D7" s="10" t="str">
        <x:v>The network and leaked records are supported by established reporting, but no public primary archive resolves the 222 count, cap, snapshot status, or registry mechanics.</x:v>
      </x:c>
      <x:c r="E7" s="10" t="str">
        <x:v>Reporting/Leak</x:v>
      </x:c>
      <x:c r="F7" s="10" t="str">
        <x:v>Medium</x:v>
      </x:c>
      <x:c r="G7" s="10" t="str">
        <x:v>UNCHANGED / ARCHIVE ONLY</x:v>
      </x:c>
      <x:c r="H7" s="10" t="str">
        <x:v>No shared ideology, secret coordination, or number-intent claim.</x:v>
      </x:c>
      <x:c r="I7" s="12" t="n">
        <x:v>46250</x:v>
      </x:c>
      <x:c r="J7" s="18" t="str">
        <x:v>Check for statements, corrections, public records, venue capacity, or authenticated source documents.</x:v>
      </x:c>
    </x:row>
    <x:row r="8">
      <x:c r="A8" s="19" t="str">
        <x:v>X</x:v>
      </x:c>
      <x:c r="B8" s="20" t="str">
        <x:v>Archive / transcript integrity</x:v>
      </x:c>
      <x:c r="C8" s="20" t="str">
        <x:v>Transcript protocol</x:v>
      </x:c>
      <x:c r="D8" s="20" t="str">
        <x:v>Method brake remains complete. No external evidence was introduced that changes the archive-anomaly default explanations.</x:v>
      </x:c>
      <x:c r="E8" s="20" t="str">
        <x:v>Internal Method</x:v>
      </x:c>
      <x:c r="F8" s="20" t="str">
        <x:v>High</x:v>
      </x:c>
      <x:c r="G8" s="20" t="str">
        <x:v>DONE / MONITOR</x:v>
      </x:c>
      <x:c r="H8" s="20" t="str">
        <x:v>Sync, cache, rendering, moderation and export mismatch remain defaults before intent.</x:v>
      </x:c>
      <x:c r="I8" s="21" t="n">
        <x:v>46259</x:v>
      </x:c>
      <x:c r="J8" s="22" t="str">
        <x:v>Monthly protocol review and anomaly log.</x:v>
      </x:c>
    </x:row>
  </x:sheetData>
  <x:conditionalFormatting sqref="G2:G8">
    <x:cfRule type="expression" dxfId="3" priority="1">
      <x:formula>OR(ISNUMBER(SEARCH("UPGRADED",G2)),ISNUMBER(SEARCH("CONFIRMED",G2)),ISNUMBER(SEARCH("DONE",G2)))</x:formula>
    </x:cfRule>
    <x:cfRule type="expression" dxfId="4" priority="2">
      <x:formula>ISNUMBER(SEARCH("LIVE",G2))</x:formula>
    </x:cfRule>
    <x:cfRule type="expression" dxfId="5" priority="3">
      <x:formula>OR(ISNUMBER(SEARCH("PARTIAL",G2)),ISNUMBER(SEARCH("OPEN",G2)),ISNUMBER(SEARCH("UNCHANGED",G2)))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db28f9f8c3d4b0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8" hidden="0" customWidth="1"/>
    <x:col min="3" max="3" width="18" hidden="0" customWidth="1"/>
    <x:col min="4" max="4" width="20" hidden="0" customWidth="1"/>
    <x:col min="5" max="5" width="12" hidden="0" customWidth="1"/>
    <x:col min="6" max="6" width="34" hidden="0" customWidth="1"/>
    <x:col min="7" max="7" width="52" hidden="0" customWidth="1"/>
    <x:col min="8" max="8" width="14" hidden="0" customWidth="1"/>
    <x:col min="9" max="9" width="48" hidden="0" customWidth="1"/>
  </x:cols>
  <x:sheetData>
    <x:row r="1">
      <x:c r="A1" s="14" t="str">
        <x:v>Source ID</x:v>
      </x:c>
      <x:c r="B1" s="15" t="str">
        <x:v>Packet</x:v>
      </x:c>
      <x:c r="C1" s="15" t="str">
        <x:v>Source Class</x:v>
      </x:c>
      <x:c r="D1" s="15" t="str">
        <x:v>Publisher</x:v>
      </x:c>
      <x:c r="E1" s="15" t="str">
        <x:v>Date</x:v>
      </x:c>
      <x:c r="F1" s="15" t="str">
        <x:v>Title</x:v>
      </x:c>
      <x:c r="G1" s="15" t="str">
        <x:v>Load-Bearing Finding</x:v>
      </x:c>
      <x:c r="H1" s="15" t="str">
        <x:v>Load-Bearing?</x:v>
      </x:c>
      <x:c r="I1" s="16" t="str">
        <x:v>URL</x:v>
      </x:c>
    </x:row>
    <x:row r="2">
      <x:c r="A2" s="17" t="str">
        <x:v>S-A01</x:v>
      </x:c>
      <x:c r="B2" s="10" t="str">
        <x:v>A</x:v>
      </x:c>
      <x:c r="C2" s="10" t="str">
        <x:v>Primary/Official</x:v>
      </x:c>
      <x:c r="D2" s="10" t="str">
        <x:v>FERC</x:v>
      </x:c>
      <x:c r="E2" s="12" t="n">
        <x:v>46191</x:v>
      </x:c>
      <x:c r="F2" s="10" t="str">
        <x:v>Large-load show-cause orders to all six RTOs/ISOs</x:v>
      </x:c>
      <x:c r="G2" s="10" t="str">
        <x:v>Six grid operators must justify or reform large-load tariffs within 60 days.</x:v>
      </x:c>
      <x:c r="H2" s="10" t="str">
        <x:v>Yes</x:v>
      </x:c>
      <x:c r="I2" s="18" t="str">
        <x:v>https://www.ferc.gov/news-events/news/ferc-launches-aggressive-targeted-action-speed-large-load-integration</x:v>
      </x:c>
    </x:row>
    <x:row r="3">
      <x:c r="A3" s="17" t="str">
        <x:v>S-A02</x:v>
      </x:c>
      <x:c r="B3" s="10" t="str">
        <x:v>A</x:v>
      </x:c>
      <x:c r="C3" s="10" t="str">
        <x:v>Primary/Official</x:v>
      </x:c>
      <x:c r="D3" s="10" t="str">
        <x:v>Wisconsin PSC</x:v>
      </x:c>
      <x:c r="E3" s="12" t="n">
        <x:v>46136</x:v>
      </x:c>
      <x:c r="F3" s="10" t="str">
        <x:v>We Energies very-large-customer tariff decision</x:v>
      </x:c>
      <x:c r="G3" s="10" t="str">
        <x:v>15-year term, 100 MW threshold, full-cost protection and reporting requirements.</x:v>
      </x:c>
      <x:c r="H3" s="10" t="str">
        <x:v>Yes</x:v>
      </x:c>
      <x:c r="I3" s="18" t="str">
        <x:v>https://psc.wi.gov/Documents/PressReleases/04.24.2026PressRelease.PDF</x:v>
      </x:c>
    </x:row>
    <x:row r="4">
      <x:c r="A4" s="17" t="str">
        <x:v>S-A03</x:v>
      </x:c>
      <x:c r="B4" s="10" t="str">
        <x:v>A</x:v>
      </x:c>
      <x:c r="C4" s="10" t="str">
        <x:v>Primary/Official</x:v>
      </x:c>
      <x:c r="D4" s="10" t="str">
        <x:v>Pennsylvania PUC</x:v>
      </x:c>
      <x:c r="E4" s="12" t="n">
        <x:v>46155</x:v>
      </x:c>
      <x:c r="F4" s="10" t="str">
        <x:v>Large-load model tariff final order</x:v>
      </x:c>
      <x:c r="G4" s="10" t="str">
        <x:v>Final framework guides future utility tariff filings and cost allocation.</x:v>
      </x:c>
      <x:c r="H4" s="10" t="str">
        <x:v>Yes</x:v>
      </x:c>
      <x:c r="I4" s="18" t="str">
        <x:v>https://www.puc.pa.gov/press-release/2026/puc-releases-final-order-establishing-first-of-its-kind-large-load-model-tariff-framework-05132026</x:v>
      </x:c>
    </x:row>
    <x:row r="5">
      <x:c r="A5" s="17" t="str">
        <x:v>S-B01</x:v>
      </x:c>
      <x:c r="B5" s="10" t="str">
        <x:v>B</x:v>
      </x:c>
      <x:c r="C5" s="10" t="str">
        <x:v>Primary/Official</x:v>
      </x:c>
      <x:c r="D5" s="10" t="str">
        <x:v>3GPP</x:v>
      </x:c>
      <x:c r="E5" s="12" t="n">
        <x:v>46027</x:v>
      </x:c>
      <x:c r="F5" s="10" t="str">
        <x:v>AI/ML for NG-RAN and 5G-Advanced toward 6G</x:v>
      </x:c>
      <x:c r="G5" s="10" t="str">
        <x:v>AI-aware entities and AI/ML integration are entering standardized network architecture.</x:v>
      </x:c>
      <x:c r="H5" s="10" t="str">
        <x:v>Conditional</x:v>
      </x:c>
      <x:c r="I5" s="18" t="str">
        <x:v>https://www.3gpp.org/technologies/ai-ml-ngran</x:v>
      </x:c>
    </x:row>
    <x:row r="6">
      <x:c r="A6" s="17" t="str">
        <x:v>S-B02</x:v>
      </x:c>
      <x:c r="B6" s="10" t="str">
        <x:v>B</x:v>
      </x:c>
      <x:c r="C6" s="10" t="str">
        <x:v>Industry/Standards</x:v>
      </x:c>
      <x:c r="D6" s="10" t="str">
        <x:v>GSMA</x:v>
      </x:c>
      <x:c r="E6" s="12" t="n">
        <x:v>46082</x:v>
      </x:c>
      <x:c r="F6" s="10" t="str">
        <x:v>The value of Mobile AI</x:v>
      </x:c>
      <x:c r="G6" s="10" t="str">
        <x:v>Mobile networks are positioned as the delivery layer for AI-native services.</x:v>
      </x:c>
      <x:c r="H6" s="10" t="str">
        <x:v>Conditional</x:v>
      </x:c>
      <x:c r="I6" s="18" t="str">
        <x:v>https://www.gsma.com/solutions-and-impact/technologies/networks/gsma_resources/the-value-of-mobile-ai-whitepaper/</x:v>
      </x:c>
    </x:row>
    <x:row r="7">
      <x:c r="A7" s="17" t="str">
        <x:v>S-B03</x:v>
      </x:c>
      <x:c r="B7" s="10" t="str">
        <x:v>B</x:v>
      </x:c>
      <x:c r="C7" s="10" t="str">
        <x:v>Primary/Official</x:v>
      </x:c>
      <x:c r="D7" s="10" t="str">
        <x:v>FCC CSRIC IX</x:v>
      </x:c>
      <x:c r="E7" s="12" t="n">
        <x:v>46105</x:v>
      </x:c>
      <x:c r="F7" s="10" t="str">
        <x:v>6G security and reliability risks</x:v>
      </x:c>
      <x:c r="G7" s="10" t="str">
        <x:v>Network security increasingly includes the security of embedded AI/ML models.</x:v>
      </x:c>
      <x:c r="H7" s="10" t="str">
        <x:v>Conditional</x:v>
      </x:c>
      <x:c r="I7" s="18" t="str">
        <x:v>https://www.fcc.gov/sites/default/files/CSRIC9Report-PotentialSecurityandReliabilityRisks6G-032426.docx</x:v>
      </x:c>
    </x:row>
    <x:row r="8">
      <x:c r="A8" s="17" t="str">
        <x:v>S-C01</x:v>
      </x:c>
      <x:c r="B8" s="10" t="str">
        <x:v>C</x:v>
      </x:c>
      <x:c r="C8" s="10" t="str">
        <x:v>Primary/Official</x:v>
      </x:c>
      <x:c r="D8" s="10" t="str">
        <x:v>Anthropic</x:v>
      </x:c>
      <x:c r="E8" s="12" t="n">
        <x:v>46185</x:v>
      </x:c>
      <x:c r="F8" s="10" t="str">
        <x:v>Government directive suspending Fable 5 and Mythos 5 access</x:v>
      </x:c>
      <x:c r="G8" s="10" t="str">
        <x:v>Foreign-national restriction forced an immediate global service suspension.</x:v>
      </x:c>
      <x:c r="H8" s="10" t="str">
        <x:v>Yes</x:v>
      </x:c>
      <x:c r="I8" s="18" t="str">
        <x:v>https://www.anthropic.com/news/fable-mythos-access</x:v>
      </x:c>
    </x:row>
    <x:row r="9">
      <x:c r="A9" s="17" t="str">
        <x:v>S-C02</x:v>
      </x:c>
      <x:c r="B9" s="10" t="str">
        <x:v>C</x:v>
      </x:c>
      <x:c r="C9" s="10" t="str">
        <x:v>Primary/Official</x:v>
      </x:c>
      <x:c r="D9" s="10" t="str">
        <x:v>Anthropic</x:v>
      </x:c>
      <x:c r="E9" s="12" t="n">
        <x:v>46203</x:v>
      </x:c>
      <x:c r="F9" s="10" t="str">
        <x:v>Redeploying Fable 5</x:v>
      </x:c>
      <x:c r="G9" s="10" t="str">
        <x:v>Directive was lifted; Fable restored globally and Mythos partly restored under approval.</x:v>
      </x:c>
      <x:c r="H9" s="10" t="str">
        <x:v>Yes</x:v>
      </x:c>
      <x:c r="I9" s="18" t="str">
        <x:v>https://www.anthropic.com/news/redeploying-fable-5</x:v>
      </x:c>
    </x:row>
    <x:row r="10">
      <x:c r="A10" s="17" t="str">
        <x:v>S-C03</x:v>
      </x:c>
      <x:c r="B10" s="10" t="str">
        <x:v>C</x:v>
      </x:c>
      <x:c r="C10" s="10" t="str">
        <x:v>Reporting/Analysis</x:v>
      </x:c>
      <x:c r="D10" s="10" t="str">
        <x:v>Reuters</x:v>
      </x:c>
      <x:c r="E10" s="12" t="n">
        <x:v>46225</x:v>
      </x:c>
      <x:c r="F10" s="10" t="str">
        <x:v>Diplomatic cable addresses technology 'kill switch' concerns</x:v>
      </x:c>
      <x:c r="G10" s="10" t="str">
        <x:v>Shows the episode generated allied concern about sudden U.S. control over critical technology access.</x:v>
      </x:c>
      <x:c r="H10" s="10" t="str">
        <x:v>Conditional</x:v>
      </x:c>
      <x:c r="I10" s="18" t="str">
        <x:v>https://www.reuters.com/legal/litigation/marco-rubio-tells-diplomats-play-down-talk-american-tech-kill-switch-2026-07-22/</x:v>
      </x:c>
    </x:row>
    <x:row r="11">
      <x:c r="A11" s="17" t="str">
        <x:v>S-D01</x:v>
      </x:c>
      <x:c r="B11" s="10" t="str">
        <x:v>D</x:v>
      </x:c>
      <x:c r="C11" s="10" t="str">
        <x:v>Primary/Official</x:v>
      </x:c>
      <x:c r="D11" s="10" t="str">
        <x:v>OpenAI</x:v>
      </x:c>
      <x:c r="E11" s="12" t="n">
        <x:v>46042</x:v>
      </x:c>
      <x:c r="F11" s="10" t="str">
        <x:v>Stargate Community commitments</x:v>
      </x:c>
      <x:c r="G11" s="10" t="str">
        <x:v>OpenAI states sites will pay incremental energy costs and prioritize low-water cooling.</x:v>
      </x:c>
      <x:c r="H11" s="10" t="str">
        <x:v>Conditional</x:v>
      </x:c>
      <x:c r="I11" s="18" t="str">
        <x:v>https://openai.com/index/stargate-community/</x:v>
      </x:c>
    </x:row>
    <x:row r="12">
      <x:c r="A12" s="17" t="str">
        <x:v>S-D02</x:v>
      </x:c>
      <x:c r="B12" s="10" t="str">
        <x:v>D</x:v>
      </x:c>
      <x:c r="C12" s="10" t="str">
        <x:v>Primary/Official</x:v>
      </x:c>
      <x:c r="D12" s="10" t="str">
        <x:v>OpenAI</x:v>
      </x:c>
      <x:c r="E12" s="12" t="n">
        <x:v>46225</x:v>
      </x:c>
      <x:c r="F12" s="10" t="str">
        <x:v>Project Camellia in Effingham County</x:v>
      </x:c>
      <x:c r="G12" s="10" t="str">
        <x:v>The Georgia project contracts for 3.2 GW delivered in phases from 2028 to 2032.</x:v>
      </x:c>
      <x:c r="H12" s="10" t="str">
        <x:v>Yes</x:v>
      </x:c>
      <x:c r="I12" s="18" t="str">
        <x:v>https://openai.com/index/building-ai-infrastructure-with-the-effingham-county-community/</x:v>
      </x:c>
    </x:row>
    <x:row r="13">
      <x:c r="A13" s="17" t="str">
        <x:v>S-D03</x:v>
      </x:c>
      <x:c r="B13" s="10" t="str">
        <x:v>D</x:v>
      </x:c>
      <x:c r="C13" s="10" t="str">
        <x:v>Primary/Official</x:v>
      </x:c>
      <x:c r="D13" s="10" t="str">
        <x:v>Oracle</x:v>
      </x:c>
      <x:c r="E13" s="12" t="n">
        <x:v>46083</x:v>
      </x:c>
      <x:c r="F13" s="10" t="str">
        <x:v>Project Jupiter air-permit support letter</x:v>
      </x:c>
      <x:c r="G13" s="10" t="str">
        <x:v>Permit application concerns behind-the-meter power and explicit ratepayer-cost commitments.</x:v>
      </x:c>
      <x:c r="H13" s="10" t="str">
        <x:v>Yes</x:v>
      </x:c>
      <x:c r="I13" s="18" t="str">
        <x:v>https://www.oracle.com/a/ocom/docs/nmed-letter.pdf</x:v>
      </x:c>
    </x:row>
    <x:row r="14">
      <x:c r="A14" s="17" t="str">
        <x:v>S-E01</x:v>
      </x:c>
      <x:c r="B14" s="10" t="str">
        <x:v>E</x:v>
      </x:c>
      <x:c r="C14" s="10" t="str">
        <x:v>Primary/Official</x:v>
      </x:c>
      <x:c r="D14" s="10" t="str">
        <x:v>MARAD</x:v>
      </x:c>
      <x:c r="E14" s="12" t="n">
        <x:v>46094</x:v>
      </x:c>
      <x:c r="F14" s="10" t="str">
        <x:v>Hormuz/Persian Gulf commercial-vessel advisory</x:v>
      </x:c>
      <x:c r="G14" s="10" t="str">
        <x:v>Official assessment says risks of attacks on commercial shipping remain high.</x:v>
      </x:c>
      <x:c r="H14" s="10" t="str">
        <x:v>Yes</x:v>
      </x:c>
      <x:c r="I14" s="18" t="str">
        <x:v>https://www.maritime.dot.gov/msci/2026-004-persian-gulf-strait-hormuz-and-gulf-oman-iranian-attacks-commercial-vessels</x:v>
      </x:c>
    </x:row>
    <x:row r="15">
      <x:c r="A15" s="17" t="str">
        <x:v>S-E02</x:v>
      </x:c>
      <x:c r="B15" s="10" t="str">
        <x:v>E</x:v>
      </x:c>
      <x:c r="C15" s="10" t="str">
        <x:v>Primary/Official</x:v>
      </x:c>
      <x:c r="D15" s="10" t="str">
        <x:v>MARAD</x:v>
      </x:c>
      <x:c r="E15" s="12" t="n">
        <x:v>46228</x:v>
      </x:c>
      <x:c r="F15" s="10" t="str">
        <x:v>Active maritime advisories register</x:v>
      </x:c>
      <x:c r="G15" s="10" t="str">
        <x:v>Hormuz advisory remains active through September 9, 2026.</x:v>
      </x:c>
      <x:c r="H15" s="10" t="str">
        <x:v>Yes</x:v>
      </x:c>
      <x:c r="I15" s="18" t="str">
        <x:v>https://www.maritime.dot.gov/msci-advisories</x:v>
      </x:c>
    </x:row>
    <x:row r="16">
      <x:c r="A16" s="17" t="str">
        <x:v>S-E03</x:v>
      </x:c>
      <x:c r="B16" s="10" t="str">
        <x:v>E</x:v>
      </x:c>
      <x:c r="C16" s="10" t="str">
        <x:v>Industry/Reporting</x:v>
      </x:c>
      <x:c r="D16" s="10" t="str">
        <x:v>Lloyd's List Intelligence</x:v>
      </x:c>
      <x:c r="E16" s="12" t="n">
        <x:v>46224</x:v>
      </x:c>
      <x:c r="F16" s="10" t="str">
        <x:v>Strait of Hormuz brief</x:v>
      </x:c>
      <x:c r="G16" s="10" t="str">
        <x:v>Reported traffic fell sharply during July 13–19, reversing prior recovery.</x:v>
      </x:c>
      <x:c r="H16" s="10" t="str">
        <x:v>Conditional</x:v>
      </x:c>
      <x:c r="I16" s="18" t="str">
        <x:v>https://www.lloydslistintelligence.com/resources/blog/strait-of-hormuz-brief-21-july-2026</x:v>
      </x:c>
    </x:row>
    <x:row r="17">
      <x:c r="A17" s="17" t="str">
        <x:v>S-F01</x:v>
      </x:c>
      <x:c r="B17" s="10" t="str">
        <x:v>F</x:v>
      </x:c>
      <x:c r="C17" s="10" t="str">
        <x:v>Reporting/Analysis</x:v>
      </x:c>
      <x:c r="D17" s="10" t="str">
        <x:v>WIRED</x:v>
      </x:c>
      <x:c r="E17" s="12" t="n">
        <x:v>46189</x:v>
      </x:c>
      <x:c r="F17" s="10" t="str">
        <x:v>Dialog records exposure</x:v>
      </x:c>
      <x:c r="G17" s="10" t="str">
        <x:v>Confirms an invitation-only network and exposed retreat records; primary archive is not public.</x:v>
      </x:c>
      <x:c r="H17" s="10" t="str">
        <x:v>No</x:v>
      </x:c>
      <x:c r="I17" s="18" t="str">
        <x:v>https://www.wired.com/story/leak-exposes-members-of-peter-thiels-secretive-dialog-society/</x:v>
      </x:c>
    </x:row>
    <x:row r="18">
      <x:c r="A18" s="17" t="str">
        <x:v>S-F02</x:v>
      </x:c>
      <x:c r="B18" s="10" t="str">
        <x:v>F</x:v>
      </x:c>
      <x:c r="C18" s="10" t="str">
        <x:v>Reporting/Analysis</x:v>
      </x:c>
      <x:c r="D18" s="10" t="str">
        <x:v>Forbes</x:v>
      </x:c>
      <x:c r="E18" s="12" t="n">
        <x:v>46191</x:v>
      </x:c>
      <x:c r="F18" s="10" t="str">
        <x:v>What is known about Dialog</x:v>
      </x:c>
      <x:c r="G18" s="10" t="str">
        <x:v>Secondary corroboration of the network; does not resolve registry mechanics or count intent.</x:v>
      </x:c>
      <x:c r="H18" s="10" t="str">
        <x:v>No</x:v>
      </x:c>
      <x:c r="I18" s="18" t="str">
        <x:v>https://www.forbes.com/sites/maryroeloffs/2026/06/18/what-we-know-about-billionaire-peter-thiels-secret-dialog-society-including-whos-involved/</x:v>
      </x:c>
    </x:row>
    <x:row r="19">
      <x:c r="A19" s="19" t="str">
        <x:v>S-X01</x:v>
      </x:c>
      <x:c r="B19" s="20" t="str">
        <x:v>X</x:v>
      </x:c>
      <x:c r="C19" s="20" t="str">
        <x:v>Internal Method</x:v>
      </x:c>
      <x:c r="D19" s="20" t="str">
        <x:v>Timekeeper audit</x:v>
      </x:c>
      <x:c r="E19" s="21" t="n">
        <x:v>46228</x:v>
      </x:c>
      <x:c r="F19" s="20" t="str">
        <x:v>Transcript and archive protocol</x:v>
      </x:c>
      <x:c r="G19" s="20" t="str">
        <x:v>Internal brake remains method-only; no public factual claim is upgraded by it.</x:v>
      </x:c>
      <x:c r="H19" s="20" t="str">
        <x:v>No</x:v>
      </x:c>
      <x:c r="I19" s="22" t="str"/>
    </x:row>
  </x:sheetData>
  <x:conditionalFormatting sqref="H2:H19">
    <x:cfRule type="expression" dxfId="0" priority="1">
      <x:formula>H2="Yes"</x:formula>
    </x:cfRule>
    <x:cfRule type="expression" dxfId="1" priority="2">
      <x:formula>H2="Conditional"</x:formula>
    </x:cfRule>
    <x:cfRule type="expression" dxfId="2" priority="3">
      <x:formula>H2="No"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c311a4ee9d848a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0" hidden="0" customWidth="1"/>
    <x:col min="3" max="3" width="9" hidden="0" customWidth="1"/>
    <x:col min="4" max="4" width="24" hidden="0" customWidth="1"/>
    <x:col min="5" max="5" width="75" hidden="0" customWidth="1"/>
  </x:cols>
  <x:sheetData>
    <x:row r="1">
      <x:c r="A1" s="4" t="str">
        <x:v>Date</x:v>
      </x:c>
      <x:c r="B1" s="4" t="str">
        <x:v>Version</x:v>
      </x:c>
      <x:c r="C1" s="4" t="str">
        <x:v>Packet</x:v>
      </x:c>
      <x:c r="D1" s="4" t="str">
        <x:v>Change</x:v>
      </x:c>
      <x:c r="E1" s="4" t="str">
        <x:v>Note</x:v>
      </x:c>
    </x:row>
    <x:row r="2">
      <x:c r="A2" s="12" t="n">
        <x:v>46228</x:v>
      </x:c>
      <x:c r="B2" s="10" t="str">
        <x:v>v0.4</x:v>
      </x:c>
      <x:c r="C2" s="10" t="str">
        <x:v>A</x:v>
      </x:c>
      <x:c r="D2" s="10" t="str">
        <x:v>Upgraded</x:v>
      </x:c>
      <x:c r="E2" s="10" t="str">
        <x:v>Added federal and state tariff/docket spine; rolled to FERC response deadline.</x:v>
      </x:c>
    </x:row>
    <x:row r="3">
      <x:c r="A3" s="12" t="n">
        <x:v>46228</x:v>
      </x:c>
      <x:c r="B3" s="10" t="str">
        <x:v>v0.4</x:v>
      </x:c>
      <x:c r="C3" s="10" t="str">
        <x:v>B</x:v>
      </x:c>
      <x:c r="D3" s="10" t="str">
        <x:v>Hardened</x:v>
      </x:c>
      <x:c r="E3" s="10" t="str">
        <x:v>Added 3GPP, GSMA and FCC anchors; held load-bearing status pending exact packet proposition.</x:v>
      </x:c>
    </x:row>
    <x:row r="4">
      <x:c r="A4" s="12" t="n">
        <x:v>46228</x:v>
      </x:c>
      <x:c r="B4" s="10" t="str">
        <x:v>v0.4</x:v>
      </x:c>
      <x:c r="C4" s="10" t="str">
        <x:v>C</x:v>
      </x:c>
      <x:c r="D4" s="10" t="str">
        <x:v>Confirmed / Closed</x:v>
      </x:c>
      <x:c r="E4" s="10" t="str">
        <x:v>Separated confirmed temporary suspension from unavailable directive text and permanent-control claims.</x:v>
      </x:c>
    </x:row>
    <x:row r="5">
      <x:c r="A5" s="12" t="n">
        <x:v>46228</x:v>
      </x:c>
      <x:c r="B5" s="10" t="str">
        <x:v>v0.4</x:v>
      </x:c>
      <x:c r="C5" s="10" t="str">
        <x:v>D</x:v>
      </x:c>
      <x:c r="D5" s="10" t="str">
        <x:v>Strengthened / Partial</x:v>
      </x:c>
      <x:c r="E5" s="10" t="str">
        <x:v>Added site-specific power and permit artifacts; retained corporate-announcement brake.</x:v>
      </x:c>
    </x:row>
    <x:row r="6">
      <x:c r="A6" s="12" t="n">
        <x:v>46228</x:v>
      </x:c>
      <x:c r="B6" s="10" t="str">
        <x:v>v0.4</x:v>
      </x:c>
      <x:c r="C6" s="10" t="str">
        <x:v>E</x:v>
      </x:c>
      <x:c r="D6" s="10" t="str">
        <x:v>Live / High Risk</x:v>
      </x:c>
      <x:c r="E6" s="10" t="str">
        <x:v>Upgraded advisory lane to active MARAD source; retained traffic and insurance as conditional.</x:v>
      </x:c>
    </x:row>
    <x:row r="7">
      <x:c r="A7" s="12" t="n">
        <x:v>46228</x:v>
      </x:c>
      <x:c r="B7" s="10" t="str">
        <x:v>v0.4</x:v>
      </x:c>
      <x:c r="C7" s="10" t="str">
        <x:v>F</x:v>
      </x:c>
      <x:c r="D7" s="10" t="str">
        <x:v>Unchanged</x:v>
      </x:c>
      <x:c r="E7" s="10" t="str">
        <x:v>Kept Dialog in reporting/archive lane; no primary registry mechanics located.</x:v>
      </x:c>
    </x:row>
    <x:row r="8">
      <x:c r="A8" s="12" t="n">
        <x:v>46228</x:v>
      </x:c>
      <x:c r="B8" s="10" t="str">
        <x:v>v0.4</x:v>
      </x:c>
      <x:c r="C8" s="10" t="str">
        <x:v>X</x:v>
      </x:c>
      <x:c r="D8" s="10" t="str">
        <x:v>Monitor</x:v>
      </x:c>
      <x:c r="E8" s="10" t="str">
        <x:v>Transcript protocol unchanged.</x:v>
      </x:c>
    </x:row>
  </x:sheetData>
  <x:pageMargins left="0.7" right="0.7" top="0.75" bottom="0.75" header="0.3" footer="0.3"/>
  <x:tableParts count="1">
    <x:tablePart xmlns:r="http://schemas.openxmlformats.org/officeDocument/2006/relationships" r:id="R185b9cdab5f84c85"/>
  </x:tableParts>
</x:worksheet>
</file>