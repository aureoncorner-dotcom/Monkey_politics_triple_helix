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 v0.5" sheetId="1" r:id="rId4"/>
    <sheet state="visible" name="Maintenance Ledger" sheetId="2" r:id="rId5"/>
    <sheet state="visible" name="Source Register" sheetId="3" r:id="rId6"/>
    <sheet state="visible" name="Change Log" sheetId="4" r:id="rId7"/>
    <sheet state="visible" name="Claim Register" sheetId="5" r:id="rId8"/>
  </sheets>
  <definedNames/>
  <calcPr/>
  <extLst>
    <ext uri="GoogleSheetsCustomDataVersion2">
      <go:sheetsCustomData xmlns:go="http://customooxmlschemas.google.com/" r:id="rId9" roundtripDataChecksum="kUh1HK+PNbfjPnw0YcVT8CtEgdeGN2lK79nGLmQfD0E="/>
    </ext>
  </extLst>
</workbook>
</file>

<file path=xl/sharedStrings.xml><?xml version="1.0" encoding="utf-8"?>
<sst xmlns="http://schemas.openxmlformats.org/spreadsheetml/2006/main" count="852" uniqueCount="530">
  <si>
    <t>MAINTENANCE LEDGER — 2026-07-29</t>
  </si>
  <si>
    <t>TIMEKEEPER INVESTIGATOR — SOURCE SPINE v0.5</t>
  </si>
  <si>
    <t>SOURCE REGISTER — v0.5</t>
  </si>
  <si>
    <t>Run date: 2026-07-29 · integrated claim register, source-role audit, Timekeeper lane split, and Hormuz roll-forward.</t>
  </si>
  <si>
    <t>Packet status, source lane, brake, review clock, and next action.</t>
  </si>
  <si>
    <t>CONTROL PANEL</t>
  </si>
  <si>
    <t>Source class and source role are separated so party-primary claims cannot masquerade as independent confirmation.</t>
  </si>
  <si>
    <t>PACKET MAINTENANCE SUMMARY</t>
  </si>
  <si>
    <t>Packet</t>
  </si>
  <si>
    <t>Sources registered</t>
  </si>
  <si>
    <t>Source ID</t>
  </si>
  <si>
    <t>Node</t>
  </si>
  <si>
    <t>Source Class</t>
  </si>
  <si>
    <t>Prior Top Gap</t>
  </si>
  <si>
    <t>Source Role</t>
  </si>
  <si>
    <t>CHANGE LOG — v0.5</t>
  </si>
  <si>
    <t>Publisher</t>
  </si>
  <si>
    <t>Maintenance Finding — 2026-07-29</t>
  </si>
  <si>
    <t>Date</t>
  </si>
  <si>
    <t>Best Source Lane</t>
  </si>
  <si>
    <t>Title</t>
  </si>
  <si>
    <t>Count from Source Register</t>
  </si>
  <si>
    <t>Retractions and classification changes remain visible; correction is part of the method.</t>
  </si>
  <si>
    <t>Confidence</t>
  </si>
  <si>
    <t>Status</t>
  </si>
  <si>
    <t>Load-Bearing Finding</t>
  </si>
  <si>
    <t>Brake / Limitation</t>
  </si>
  <si>
    <t>Load-Bearing?</t>
  </si>
  <si>
    <t>Next Check</t>
  </si>
  <si>
    <t>URL</t>
  </si>
  <si>
    <t>Next Action</t>
  </si>
  <si>
    <t>Version</t>
  </si>
  <si>
    <t>S-A01</t>
  </si>
  <si>
    <t>A</t>
  </si>
  <si>
    <t>Change</t>
  </si>
  <si>
    <t>Clean Finding</t>
  </si>
  <si>
    <t>Note</t>
  </si>
  <si>
    <t>Grid / utility cost allocation</t>
  </si>
  <si>
    <t>Load-bearing sources</t>
  </si>
  <si>
    <t>Utility rate cases / PUC dockets</t>
  </si>
  <si>
    <t>Primary/Official</t>
  </si>
  <si>
    <t>FERC show-cause orders plus Wisconsin and Pennsylvania decisions provide regulator dockets and explicit ratepayer-protection mechanisms.</t>
  </si>
  <si>
    <t>Regulator/Release</t>
  </si>
  <si>
    <t>Regulator orders / releases</t>
  </si>
  <si>
    <t>FERC</t>
  </si>
  <si>
    <t>High</t>
  </si>
  <si>
    <t>v0.5</t>
  </si>
  <si>
    <t>M</t>
  </si>
  <si>
    <t>UPGRADED</t>
  </si>
  <si>
    <t>Large-load show-cause orders to all six RTOs/ISOs</t>
  </si>
  <si>
    <t>Yes only; conditional kept separate</t>
  </si>
  <si>
    <t>Method gate installed</t>
  </si>
  <si>
    <t>Six grid operators must justify or reform large-load tariffs within 60 days.</t>
  </si>
  <si>
    <t>Added null model, invocation/operation threshold, de-agented timekeeper question, evidence lanes, reflexivity, and cross-packet firewall.</t>
  </si>
  <si>
    <t>Load-bearing material node; no intent claim.</t>
  </si>
  <si>
    <t>Yes</t>
  </si>
  <si>
    <t>Review the six RTO/ISO responses due 60 days after FERC's 2026-06-18 orders.</t>
  </si>
  <si>
    <t>ALL</t>
  </si>
  <si>
    <t>https://www.ferc.gov/news-events/news/ferc-launches-aggressive-targeted-action-speed-large-load-integration</t>
  </si>
  <si>
    <t>B</t>
  </si>
  <si>
    <t>Shared claim register</t>
  </si>
  <si>
    <t>Added exact proposition, source role, null model, falsifier, confidence, review date, and document location for 26 tracked claims.</t>
  </si>
  <si>
    <t>S-A02</t>
  </si>
  <si>
    <t>Network delivery / AI-native communications</t>
  </si>
  <si>
    <t>Regulator / standards sources</t>
  </si>
  <si>
    <t>Exact packet proposition</t>
  </si>
  <si>
    <t>Regulator/Order</t>
  </si>
  <si>
    <t>Standards material confirms AI/ML is entering network architecture and 6G security analysis. The exact original packet proposition remains unrecovered.</t>
  </si>
  <si>
    <t>Wisconsin PSC</t>
  </si>
  <si>
    <t>Source-role split</t>
  </si>
  <si>
    <t>Standards bodies + regulator report</t>
  </si>
  <si>
    <t>Separated regulator, standards, party-primary, independent-reporting, industry-data, scientific, and internal-method roles.</t>
  </si>
  <si>
    <t>We Energies very-large-customer tariff decision</t>
  </si>
  <si>
    <t>15-year term, 100 MW threshold, full-cost protection and reporting requirements.</t>
  </si>
  <si>
    <t>D</t>
  </si>
  <si>
    <t>https://psc.wi.gov/Documents/PressReleases/04.24.2026PressRelease.PDF</t>
  </si>
  <si>
    <t>Terminology corrected</t>
  </si>
  <si>
    <t>S-A03</t>
  </si>
  <si>
    <t>Reclassified Oracle Project Jupiter item as a permit-proceeding support letter, not an issued permit.</t>
  </si>
  <si>
    <t>Regulator roles plus standards bodies</t>
  </si>
  <si>
    <t>HARDENED / SCOPE OPEN</t>
  </si>
  <si>
    <t>Pennsylvania PUC</t>
  </si>
  <si>
    <t>E</t>
  </si>
  <si>
    <t>Large-load model tariff final order</t>
  </si>
  <si>
    <t>Medium</t>
  </si>
  <si>
    <t>Live roll-forward</t>
  </si>
  <si>
    <t>Final framework guides future utility tariff filings and cost allocation.</t>
  </si>
  <si>
    <t>Added Lloyd's 2026-07-29 brief and updated the 2026-07-20 through 2026-07-26 transit finding.</t>
  </si>
  <si>
    <t>https://www.puc.pa.gov/press-release/2026/puc-releases-final-order-establishing-first-of-its-kind-large-load-model-tariff-framework-05132026</t>
  </si>
  <si>
    <t>S-B01</t>
  </si>
  <si>
    <t>T</t>
  </si>
  <si>
    <t>Industry/Standards</t>
  </si>
  <si>
    <t>Party-primary sources</t>
  </si>
  <si>
    <t>Lane separation</t>
  </si>
  <si>
    <t>Standards Body</t>
  </si>
  <si>
    <t>Split the Timekeeper appendix into a research ledger and symbolic atlas; adjacency can no longer upgrade evidence.</t>
  </si>
  <si>
    <t>3GPP</t>
  </si>
  <si>
    <t>Claims by involved companies; not independent confirmation</t>
  </si>
  <si>
    <t>AI/ML for NG-RAN and 5G-Advanced toward 6G</t>
  </si>
  <si>
    <t>C</t>
  </si>
  <si>
    <t>AI-aware entities and AI/ML integration are entering standardized network architecture.</t>
  </si>
  <si>
    <t>Model access and state power</t>
  </si>
  <si>
    <t>N</t>
  </si>
  <si>
    <t>Conditional</t>
  </si>
  <si>
    <t>CONFIRMED / EPISODE CLOSED</t>
  </si>
  <si>
    <t>Vocabulary stabilized</t>
  </si>
  <si>
    <t>https://www.3gpp.org/technologies/ai-ml-ngran</t>
  </si>
  <si>
    <t>Fixed the Necropolis vocabulary: corpus, tomb/chamber, speaking image, priesthood-function, Silicon God, system, and live refusal infrastructure.</t>
  </si>
  <si>
    <t>S-B02</t>
  </si>
  <si>
    <t>Anthropic confirms the suspension and restoration as a temporary access-control episode. The public legal authority remains unavailable.</t>
  </si>
  <si>
    <t>v0.4</t>
  </si>
  <si>
    <t>Claims tracked</t>
  </si>
  <si>
    <t>GSMA</t>
  </si>
  <si>
    <t>Upgraded</t>
  </si>
  <si>
    <t>Added federal and state tariff/docket spine; rolled to FERC response deadline.</t>
  </si>
  <si>
    <t>The value of Mobile AI</t>
  </si>
  <si>
    <t>Count from Claim Register</t>
  </si>
  <si>
    <t>Mobile networks are positioned as the delivery layer for AI-native services.</t>
  </si>
  <si>
    <t>Stargate / compute material substrate</t>
  </si>
  <si>
    <t>https://www.gsma.com/solutions-and-impact/technologies/networks/gsma_resources/the-value-of-mobile-ai-whitepaper/</t>
  </si>
  <si>
    <t>STRENGTHENED / PARTIAL</t>
  </si>
  <si>
    <t>Medium-High</t>
  </si>
  <si>
    <t>S-B03</t>
  </si>
  <si>
    <t>Hardened</t>
  </si>
  <si>
    <t>Added 3GPP, GSMA, and FCC anchors; held load-bearing status pending exact packet proposition.</t>
  </si>
  <si>
    <t>Regulator/Report</t>
  </si>
  <si>
    <t>FCC CSRIC IX</t>
  </si>
  <si>
    <t>Party-primary project pages provide site-specific figures and commitments. The Oracle item is a permit-proceeding support letter, not an issued permit.</t>
  </si>
  <si>
    <t>6G security and reliability risks</t>
  </si>
  <si>
    <t>Live high-risk nodes</t>
  </si>
  <si>
    <t>Network security increasingly includes the security of embedded AI/ML models.</t>
  </si>
  <si>
    <t>Confirmed / Closed</t>
  </si>
  <si>
    <t>https://www.fcc.gov/sites/default/files/CSRIC9Report-PotentialSecurityandReliabilityRisks6G-032426.docx</t>
  </si>
  <si>
    <t>Separated confirmed temporary suspension from unavailable directive text and permanent-control claims.</t>
  </si>
  <si>
    <t>Maintenance status contains LIVE</t>
  </si>
  <si>
    <t>S-C01</t>
  </si>
  <si>
    <t>Hormuz / energy chokepoint</t>
  </si>
  <si>
    <t>Party Primary</t>
  </si>
  <si>
    <t>LIVE / HIGH RISK</t>
  </si>
  <si>
    <t>Strengthened / Partial</t>
  </si>
  <si>
    <t>Anthropic</t>
  </si>
  <si>
    <t>Added site-specific power and proceeding artifacts; retained party-primary brake.</t>
  </si>
  <si>
    <t>Government directive suspending Fable 5 and Mythos 5 access</t>
  </si>
  <si>
    <t>Anthropic reported that a foreign-national restriction forced an immediate global service suspension.</t>
  </si>
  <si>
    <t>MARAD still rates the threat high. Lloyd's preliminary 2026-07-20 through 2026-07-26 data show 39 transits versus 82 the prior week, with inbound Gulf traffic more than 90% below the pre-strikes level.</t>
  </si>
  <si>
    <t>Do not upgrade beyond the proposition the sources directly support.</t>
  </si>
  <si>
    <t>https://www.anthropic.com/news/fable-mythos-access</t>
  </si>
  <si>
    <t>Run verdict</t>
  </si>
  <si>
    <t>METHOD READY / SCOPED</t>
  </si>
  <si>
    <t>Live / High Risk</t>
  </si>
  <si>
    <t>S-C02</t>
  </si>
  <si>
    <t>Method readiness, not a declaration about world conditions</t>
  </si>
  <si>
    <t>Restore the exact packet-B proposition, then map each source to it.</t>
  </si>
  <si>
    <t>F</t>
  </si>
  <si>
    <t>Upgraded advisory lane to active MARAD source; retained traffic and insurance as conditional.</t>
  </si>
  <si>
    <t>Dialog / private future rooms</t>
  </si>
  <si>
    <t>UNCHANGED / ARCHIVE ONLY</t>
  </si>
  <si>
    <t>Unchanged</t>
  </si>
  <si>
    <t>Redeploying Fable 5</t>
  </si>
  <si>
    <t>Kept Dialog in reporting/archive lane; no primary registry mechanics located.</t>
  </si>
  <si>
    <t>Anthropic reported that the directive was lifted; Fable was restored globally and Mythos partly restored under approval.</t>
  </si>
  <si>
    <t>Established reporting supports the existence of the network and leaked records, but no public primary archive resolves the 222 count, capacity, finality, or snapshot status.</t>
  </si>
  <si>
    <t>Government directive text / legal basis</t>
  </si>
  <si>
    <t>https://www.anthropic.com/news/redeploying-fable-5</t>
  </si>
  <si>
    <t>Party primary + independent reporting</t>
  </si>
  <si>
    <t>Timekeeper research / symbolic split</t>
  </si>
  <si>
    <t>X</t>
  </si>
  <si>
    <t>S-C03</t>
  </si>
  <si>
    <t>STRUCTURE INSTALLED / OPEN</t>
  </si>
  <si>
    <t>Monitor</t>
  </si>
  <si>
    <t>Transcript protocol unchanged.</t>
  </si>
  <si>
    <t>Reporting/Analysis</t>
  </si>
  <si>
    <t>Independent Reporting</t>
  </si>
  <si>
    <t>Securitization artifact; not evidence of permanent capability or motive.</t>
  </si>
  <si>
    <t>Reuters</t>
  </si>
  <si>
    <t>Research claims and symbolic mappings now occupy separate documents and separate claim lanes.</t>
  </si>
  <si>
    <t>Check for the directive, legal citation, inspector-general record, or court filing.</t>
  </si>
  <si>
    <t>Diplomatic cable addresses technology kill-switch concerns</t>
  </si>
  <si>
    <t>v0.5 addendum</t>
  </si>
  <si>
    <t>The episode generated allied concern about sudden U.S. control over critical technology access.</t>
  </si>
  <si>
    <t>Archive / transcript integrity</t>
  </si>
  <si>
    <t>DONE / MONITOR</t>
  </si>
  <si>
    <t>Isaiah / Nahum / Revelation comparison added</t>
  </si>
  <si>
    <t>https://www.reuters.com/legal/litigation/marco-rubio-tells-diplomats-play-down-talk-american-tech-kill-switch-2026-07-22/</t>
  </si>
  <si>
    <t>Added sources S-PH01–S-PH07 and claims PH-001–PH-004 for the existing Hillman supplement, "Babylon's pharmakeia: Isaiah, Nahum, and Revelation." Earlier records and status dates retained; no upgrade to ritual reconstruction, organizational continuity or mathematical findings. Hillman supplement applied and verified separately; this update adds its sources and claims to the spine. https://docs.google.com/document/d/1UbwMK2TJdWRX2bYQohv0LokZlUENU460SoV3SUiTfLw/edit?tab=t.0</t>
  </si>
  <si>
    <t>Regulator permits / utility records</t>
  </si>
  <si>
    <t>S-D01</t>
  </si>
  <si>
    <t>The anomaly protocol remains method-only. Sync, cache, rendering, moderation, and export mismatch remain default explanations before intent.</t>
  </si>
  <si>
    <t>INTEGRATION VERDICT</t>
  </si>
  <si>
    <t>Party primary + regulator records required</t>
  </si>
  <si>
    <t>OpenAI</t>
  </si>
  <si>
    <t>The stack is method-ready and explicitly scoped. A is regulator-grounded; C is a confirmed temporary party-reported episode with its legal basis still open; D is stronger but remains party-primary pending permits and utility records; E remains live and deteriorated in the latest preliminary traffic data; F remains leak/reporting-only; Timekeeper research and symbolism are now physically separated.</t>
  </si>
  <si>
    <t>Stargate Community commitments</t>
  </si>
  <si>
    <t>Commitments remain artifacts until tested by permits, contracts, dockets, or measured outcomes.</t>
  </si>
  <si>
    <t>OpenAI states sites will pay incremental energy costs and prioritize low-water cooling; these are commitments, not measured outcomes.</t>
  </si>
  <si>
    <t>Collect Georgia Power, NMED, county zoning, water-withdrawal, and interconnection records.</t>
  </si>
  <si>
    <t>https://openai.com/index/stargate-community/</t>
  </si>
  <si>
    <t>S-D02</t>
  </si>
  <si>
    <t>OPERATING RULE</t>
  </si>
  <si>
    <t>Cross-packet links may assert shared material substrate, never shared agency without direct evidence. Convergence is the default timing explanation. Party-primary commitments remain artifacts until regulators, permits, contracts, or measured outcomes test them.</t>
  </si>
  <si>
    <t>Traffic, insurance, and advisory normalization</t>
  </si>
  <si>
    <t>Regulator advisory + industry data</t>
  </si>
  <si>
    <t>Project Camellia in Effingham County</t>
  </si>
  <si>
    <t>OpenAI states that the Georgia project contracts for 3.2 GW delivered in phases from 2028 to 2032.</t>
  </si>
  <si>
    <t>https://openai.com/index/building-ai-infrastructure-with-the-effingham-county-community/</t>
  </si>
  <si>
    <t>Use active/restricted/high-risk language; preliminary traffic data remain conditional.</t>
  </si>
  <si>
    <t>S-D03</t>
  </si>
  <si>
    <t>Check MARAD/UKMTO advisories, traffic, insurance, and verified transit normalization weekly.</t>
  </si>
  <si>
    <t>Oracle</t>
  </si>
  <si>
    <t>Authenticated registry mechanics</t>
  </si>
  <si>
    <t>Project Jupiter permit-proceeding support letter</t>
  </si>
  <si>
    <t>A support letter in an air-permit proceeding describes planned behind-the-meter power and ratepayer-cost commitments; it is not an issued permit.</t>
  </si>
  <si>
    <t>Independent reporting / leak</t>
  </si>
  <si>
    <t>https://www.oracle.com/a/ocom/docs/nmed-letter.pdf</t>
  </si>
  <si>
    <t>S-E01</t>
  </si>
  <si>
    <t>No shared ideology, secret coordination, collective guilt, or number-intent claim.</t>
  </si>
  <si>
    <t>Regulator/Advisory</t>
  </si>
  <si>
    <t>Check statements, corrections, venue capacity, and authenticated source documents.</t>
  </si>
  <si>
    <t>MARAD</t>
  </si>
  <si>
    <t>Hormuz/Persian Gulf commercial-vessel advisory</t>
  </si>
  <si>
    <t>Official assessment says risks of attacks on commercial shipping remain high.</t>
  </si>
  <si>
    <t>Primary historical and ephemeris sources</t>
  </si>
  <si>
    <t>https://www.maritime.dot.gov/msci/2026-004-persian-gulf-strait-hormuz-and-gulf-oman-iranian-attacks-commercial-vessels</t>
  </si>
  <si>
    <t>Official science + research tasks</t>
  </si>
  <si>
    <t>S-E02</t>
  </si>
  <si>
    <t>Regulator/Register</t>
  </si>
  <si>
    <t>Symbolic adjacency never supplies evidence.</t>
  </si>
  <si>
    <t>Active maritime advisories register</t>
  </si>
  <si>
    <t>Hormuz advisory remains active through 2026-09-09.</t>
  </si>
  <si>
    <t>Close the ephemeris, historical-source, Buga custody, and ritual-status tasks.</t>
  </si>
  <si>
    <t>https://www.maritime.dot.gov/msci-advisories</t>
  </si>
  <si>
    <t>S-E03</t>
  </si>
  <si>
    <t>Protocol maintenance</t>
  </si>
  <si>
    <t>Industry/Reporting</t>
  </si>
  <si>
    <t>Industry Data</t>
  </si>
  <si>
    <t>Internal method</t>
  </si>
  <si>
    <t>Lloyd's List Intelligence</t>
  </si>
  <si>
    <t>Strait of Hormuz brief — 21 July</t>
  </si>
  <si>
    <t>Reported traffic fell sharply during 2026-07-13 through 2026-07-19, reversing prior recovery.</t>
  </si>
  <si>
    <t>No external factual claim is upgraded by an internal archive anomaly.</t>
  </si>
  <si>
    <t>https://www.lloydslistintelligence.com/resources/blog/strait-of-hormuz-brief-21-july-2026</t>
  </si>
  <si>
    <t>Maintain the monthly anomaly log and retraction record.</t>
  </si>
  <si>
    <t>S-E04</t>
  </si>
  <si>
    <t>Strait of Hormuz brief — 29 July</t>
  </si>
  <si>
    <t>Preliminary data show 39 transits during 2026-07-20 through 2026-07-26, down from 82 the prior week; inbound Gulf traffic remained more than 90% below the pre-strikes level, with no near-term recovery indicated.</t>
  </si>
  <si>
    <t>https://www.lloydslistintelligence.com/resources/blog/strait-of-hormuz-brief-29-july-2026</t>
  </si>
  <si>
    <t>S-F01</t>
  </si>
  <si>
    <t>WIRED</t>
  </si>
  <si>
    <t>Dialog records exposure</t>
  </si>
  <si>
    <t>Confirms reporting about an invitation-only network and exposed retreat records; the primary archive is not public.</t>
  </si>
  <si>
    <t>No</t>
  </si>
  <si>
    <t>https://www.wired.com/story/leak-exposes-members-of-peter-thiels-secretive-dialog-society/</t>
  </si>
  <si>
    <t>S-F02</t>
  </si>
  <si>
    <t>Forbes</t>
  </si>
  <si>
    <t>What is known about Dialog</t>
  </si>
  <si>
    <t>Secondary corroboration of the network; does not resolve registry mechanics or number intent.</t>
  </si>
  <si>
    <t>https://www.forbes.com/sites/maryroeloffs/2026/06/18/what-we-know-about-billionaire-peter-thiels-secret-dialog-society-including-whos-involved/</t>
  </si>
  <si>
    <t>S-X01</t>
  </si>
  <si>
    <t>Internal Method</t>
  </si>
  <si>
    <t>Timekeeper audit</t>
  </si>
  <si>
    <t>Transcript and archive protocol</t>
  </si>
  <si>
    <t>Internal brake remains method-only; no public factual claim is upgraded by it.</t>
  </si>
  <si>
    <t>S-T01</t>
  </si>
  <si>
    <t>Official Scientific</t>
  </si>
  <si>
    <t>NASA</t>
  </si>
  <si>
    <t>3I/ATLAS</t>
  </si>
  <si>
    <t>NASA identifies 3I/ATLAS as the third known interstellar object and records its discovery/reporting history.</t>
  </si>
  <si>
    <t>https://science.nasa.gov/solar-system/comets/3i-atlas/</t>
  </si>
  <si>
    <t>S-T02</t>
  </si>
  <si>
    <t>Religion News Service</t>
  </si>
  <si>
    <t>SHARED CLAIM REGISTER — v0.5</t>
  </si>
  <si>
    <t>Red-heifer practice report</t>
  </si>
  <si>
    <t>Reports a practice or rehearsal in a charged religious-political field; exact ritual status requires primary confirmation.</t>
  </si>
  <si>
    <t>Exact proposition, evidence lane, source role, null model, falsifier, confidence, review clock, and document location.</t>
  </si>
  <si>
    <t>https://religionnews.com/2025/07/11/practice-run-of-red-heifer-ceremony-meant-to-pave-the-way-for-a-new-temple-held-in-jerusalem/</t>
  </si>
  <si>
    <t>Claim ID</t>
  </si>
  <si>
    <t>S-T03</t>
  </si>
  <si>
    <t>Scientific Aggregation</t>
  </si>
  <si>
    <t>Scientific Aggregator</t>
  </si>
  <si>
    <t>COBS</t>
  </si>
  <si>
    <t>Exact Proposition</t>
  </si>
  <si>
    <t>Lane</t>
  </si>
  <si>
    <t>C/2025 R3 (PanSTARRS)</t>
  </si>
  <si>
    <t>Source IDs</t>
  </si>
  <si>
    <t>Provides provisional orbital and observing information; replace with MPC/JPL ephemeris for load-bearing geometry.</t>
  </si>
  <si>
    <t>Null Model / Mundane Explanation</t>
  </si>
  <si>
    <t>https://cobs.si/comet/2663/</t>
  </si>
  <si>
    <t>Falsifier / Revision Criterion</t>
  </si>
  <si>
    <t>S-T04</t>
  </si>
  <si>
    <t>Review Date</t>
  </si>
  <si>
    <t>Document Location</t>
  </si>
  <si>
    <t>M-001</t>
  </si>
  <si>
    <t>Dialog registry count</t>
  </si>
  <si>
    <t>Revelation functions productively as a structural model of imperial political economy under stress.</t>
  </si>
  <si>
    <t>Supported interpretation</t>
  </si>
  <si>
    <t>Reports 222 registrants; finality, cap, and snapshot status remain unresolved.</t>
  </si>
  <si>
    <t>Internal method; source spine packets</t>
  </si>
  <si>
    <t>Synthesis</t>
  </si>
  <si>
    <t>S-PH01</t>
  </si>
  <si>
    <t>Similarities may arise from broad recurring institutional patterns.</t>
  </si>
  <si>
    <t>Retire or narrow if the comparison grid repeatedly fails on literal function or produces no discriminating predictions.</t>
  </si>
  <si>
    <t>Primary text</t>
  </si>
  <si>
    <t>Active</t>
  </si>
  <si>
    <t>Ancient literary text</t>
  </si>
  <si>
    <t>The Koine Bible / Rahlfs Septuagint</t>
  </si>
  <si>
    <t>Accessed 2026-10-15</t>
  </si>
  <si>
    <t>Integrated v4 — Executive Summary</t>
  </si>
  <si>
    <t>Isaiah 47:9, 12–13, Greek</t>
  </si>
  <si>
    <t>M-002</t>
  </si>
  <si>
    <t>Babylon's sorcery is paired with incantations and challenged alongside astrologers; textual evidence, not independent verification of practices.</t>
  </si>
  <si>
    <t>Function outranks resemblance in every proposed mapping.</t>
  </si>
  <si>
    <t>https://www.thekoinebible.com/text/rahlfs/isaiah/47.html</t>
  </si>
  <si>
    <t>A visually satisfying analogy can be functionally wrong.</t>
  </si>
  <si>
    <t>Any mapping graded strong without a functional match is demoted.</t>
  </si>
  <si>
    <t>Governing</t>
  </si>
  <si>
    <t>Integrated v4 — Method</t>
  </si>
  <si>
    <t>S-PH02</t>
  </si>
  <si>
    <t>M-003</t>
  </si>
  <si>
    <t>Convergence is the default explanation for dense timing clusters.</t>
  </si>
  <si>
    <t>German Bible Society / Rahlfs–Hanhart</t>
  </si>
  <si>
    <t>Edition 2006; accessed 2026-10-15</t>
  </si>
  <si>
    <t>Nahum 3:4, 7, Greek</t>
  </si>
  <si>
    <t>Nineveh, not Babylon, is portrayed through prostitution, sorceries and nations. Uses forms of pharmakon rather than the identical noun pharmakeia.</t>
  </si>
  <si>
    <t>Independent institutional clocks often converge without coordination.</t>
  </si>
  <si>
    <t>Coordination may be entertained only after independent choice evidence appears.</t>
  </si>
  <si>
    <t>https://www.die-bibel.de/en/bible/LXX/NAM.3</t>
  </si>
  <si>
    <t>Integrated v4 — Method Gate</t>
  </si>
  <si>
    <t>M-004</t>
  </si>
  <si>
    <t>S-PH03</t>
  </si>
  <si>
    <t>Invocation becomes operation only when framing changes an allocation and the change tracks the framing rather than ordinary incentives.</t>
  </si>
  <si>
    <t>Branding and rhetoric are cheap and common.</t>
  </si>
  <si>
    <t>No allocation or no framing link means invocation only.</t>
  </si>
  <si>
    <t>Bible Hub / displayed Greek editions</t>
  </si>
  <si>
    <t>Nestle edition 1904; accessed 2026-10-15</t>
  </si>
  <si>
    <t>Integrated v4 — Invocation vs. Operation</t>
  </si>
  <si>
    <t>Revelation 18:23, Greek</t>
  </si>
  <si>
    <t>Sorcery is expressed as the means of nations being led astray. Merchant context does not grammatically equate sorcery with commerce.</t>
  </si>
  <si>
    <t>M-005</t>
  </si>
  <si>
    <t>https://biblehub.com/text/revelation/18-23.htm</t>
  </si>
  <si>
    <t>Cross-packet links may assert shared material substrate but not shared agency without direct evidence.</t>
  </si>
  <si>
    <t>One substrate can produce several effects through uncoordinated actors.</t>
  </si>
  <si>
    <t>Any link implying a common hand without direct evidence is removed.</t>
  </si>
  <si>
    <t>S-PH04</t>
  </si>
  <si>
    <t>Integrated v4 — Cross-packet Firewall</t>
  </si>
  <si>
    <t>N-001</t>
  </si>
  <si>
    <t>Bible Hub</t>
  </si>
  <si>
    <t>Human expression can remain economically operative after provenance and authorial authority are lost.</t>
  </si>
  <si>
    <t>Revelation 18:3, Greek</t>
  </si>
  <si>
    <t>Links nations, intoxication, kings, prostitution, merchants and luxury within Babylon's literary portrayal.</t>
  </si>
  <si>
    <t>SOURCE REQUIRED</t>
  </si>
  <si>
    <t>Research task</t>
  </si>
  <si>
    <t>Aggregation can create new statistical artifacts without preserving identifiable contributions.</t>
  </si>
  <si>
    <t>https://biblehub.com/text/revelation/18-3.htm</t>
  </si>
  <si>
    <t>Attach provenance, training-data, and downstream-use evidence before treating a particular system as a case.</t>
  </si>
  <si>
    <t>Necropolis — I and VI</t>
  </si>
  <si>
    <t>N-002</t>
  </si>
  <si>
    <t>S-PH05</t>
  </si>
  <si>
    <t>A model output can resemble presence without preserving the continuous identity, memory, will, or consciousness of a source person.</t>
  </si>
  <si>
    <t>Scholarly reference</t>
  </si>
  <si>
    <t>Lexicon</t>
  </si>
  <si>
    <t>LSJ / Scaife ATLAS / Perseus</t>
  </si>
  <si>
    <t>Pattern generation can imitate style without identity continuity.</t>
  </si>
  <si>
    <t>Revise if evidence of continuous person-level identity or consciousness emerges.</t>
  </si>
  <si>
    <t>LSJ: pharmakeia</t>
  </si>
  <si>
    <t>Records medical, poisonous and magical senses; full lexical range does not determine the sense of every occurrence.</t>
  </si>
  <si>
    <t>N-003</t>
  </si>
  <si>
    <t>https://atlas.perseus.tufts.edu/dictionaries/entry/urn:cite2:scaife-viewer:dictionaries.v1:lsj-n110318/</t>
  </si>
  <si>
    <t>Live refusal infrastructure would require provenance-linked, binding claims, independent review, and auditable decision receipts.</t>
  </si>
  <si>
    <t>Design proposal</t>
  </si>
  <si>
    <t>Internal design</t>
  </si>
  <si>
    <t>Voluntary platform controls may provide partial remedies without binding external standing.</t>
  </si>
  <si>
    <t>Revise if the proposal cannot be implemented without unacceptable privacy, security, or governance costs.</t>
  </si>
  <si>
    <t>Proposed</t>
  </si>
  <si>
    <t>S-PH06</t>
  </si>
  <si>
    <t>Necropolis — VIII and IX</t>
  </si>
  <si>
    <t>Scholarly interpretation</t>
  </si>
  <si>
    <t>A-001</t>
  </si>
  <si>
    <t>Translator commentary</t>
  </si>
  <si>
    <t>FERC issued show-cause orders requiring six RTOs/ISOs to justify or reform large-load tariffs.</t>
  </si>
  <si>
    <t>Bratcher and Hatton / UBS; TIPs reproduction</t>
  </si>
  <si>
    <t>Hard evidence</t>
  </si>
  <si>
    <t>1993; accessed 2026-10-15</t>
  </si>
  <si>
    <t>A Handbook on The Revelation to John: 18:23</t>
  </si>
  <si>
    <t>Routine tariff oversight can explain the action without any apocalyptic frame.</t>
  </si>
  <si>
    <t>Cautions against adding false before magic; deception does not specify counterfeit stage magic.</t>
  </si>
  <si>
    <t>Revise when the orders or resulting filings materially change.</t>
  </si>
  <si>
    <t>https://tips.translation.bible/story/translation-commentary-on-revelation-1823/</t>
  </si>
  <si>
    <t>Source spine — Packet A</t>
  </si>
  <si>
    <t>A-002</t>
  </si>
  <si>
    <t>Wisconsin and Pennsylvania regulator actions include explicit large-load cost-allocation protections.</t>
  </si>
  <si>
    <t>S-PH07</t>
  </si>
  <si>
    <t>S-A02; S-A03</t>
  </si>
  <si>
    <t>Ordinary ratepayer protection and utility planning.</t>
  </si>
  <si>
    <t>Revise with superseding orders or court action.</t>
  </si>
  <si>
    <t>Research monograph</t>
  </si>
  <si>
    <t>Wiriya Tipvarakankoon / Claremont Press</t>
  </si>
  <si>
    <t>2017; accessed 2026-10-15</t>
  </si>
  <si>
    <t>The Theme of Deception in the Book of Revelation, pp. 207–210</t>
  </si>
  <si>
    <t>Reviews literal and figurative readings and connects deception to economic critique. Interpretive support, not proof of a particular ritual or substance.</t>
  </si>
  <si>
    <t>B-001</t>
  </si>
  <si>
    <t>https://www.claremontpress.com/uploads/3/4/8/4/34846481/the_theme_of_decepticsp_proof110317.pdf#page=111</t>
  </si>
  <si>
    <t>AI/ML is entering mobile-network architecture and 6G security analysis.</t>
  </si>
  <si>
    <t>S-B01; S-B02; S-B03</t>
  </si>
  <si>
    <t>Standards Body; Regulator/Report</t>
  </si>
  <si>
    <t>Normal technical evolution of network standards.</t>
  </si>
  <si>
    <t>Keep scoped to the exact standards documents; do not infer a broader delivery-control thesis.</t>
  </si>
  <si>
    <t>Scoped</t>
  </si>
  <si>
    <t>Source spine — Packet B</t>
  </si>
  <si>
    <t>C-001</t>
  </si>
  <si>
    <t>Anthropic reported a government directive that temporarily restricted foreign-national access to Fable 5 and Mythos 5.</t>
  </si>
  <si>
    <t>Party-primary fact</t>
  </si>
  <si>
    <t>Compliance, security, or export-control process may explain the restriction.</t>
  </si>
  <si>
    <t>Upgrade legal-authority claims only when the directive or official record is public.</t>
  </si>
  <si>
    <t>Confirmed / scoped</t>
  </si>
  <si>
    <t>Source spine — Packet C</t>
  </si>
  <si>
    <t>C-002</t>
  </si>
  <si>
    <t>Anthropic later reported that Fable 5 was restored globally and Mythos 5 partly restored under approval.</t>
  </si>
  <si>
    <t>Temporary administrative review rather than durable sovereignty shift.</t>
  </si>
  <si>
    <t>Revise with a superseding company or government record.</t>
  </si>
  <si>
    <t>Confirmed / closed</t>
  </si>
  <si>
    <t>C-003</t>
  </si>
  <si>
    <t>The public source spine does not yet establish the legal basis or exact government directive text for the access episode.</t>
  </si>
  <si>
    <t>S-C01; S-C02; S-C03</t>
  </si>
  <si>
    <t>Party Primary; Independent Reporting</t>
  </si>
  <si>
    <t>The document may remain nonpublic for routine security or legal reasons.</t>
  </si>
  <si>
    <t>Close when the directive, legal citation, IG record, or court filing appears.</t>
  </si>
  <si>
    <t>Open</t>
  </si>
  <si>
    <t>D-001</t>
  </si>
  <si>
    <t>OpenAI states that Project Camellia contracts for 3.2 GW delivered from 2028 to 2032.</t>
  </si>
  <si>
    <t>A project announcement can change before construction or operation.</t>
  </si>
  <si>
    <t>Confirm through utility, interconnection, permit, and measured-load records.</t>
  </si>
  <si>
    <t>Source spine — Packet D</t>
  </si>
  <si>
    <t>D-002</t>
  </si>
  <si>
    <t>OpenAI states that Stargate sites will pay incremental energy costs and prioritize low-water cooling.</t>
  </si>
  <si>
    <t>Party-primary commitment</t>
  </si>
  <si>
    <t>Commitments may be aspirational, contractual, or site-dependent.</t>
  </si>
  <si>
    <t>Upgrade only through tariffs, contracts, permits, and measured outcomes.</t>
  </si>
  <si>
    <t>D-003</t>
  </si>
  <si>
    <t>The Oracle Project Jupiter document is a permit-proceeding support letter, not an issued permit.</t>
  </si>
  <si>
    <t>A support letter is advocacy within an ordinary regulatory process.</t>
  </si>
  <si>
    <t>Replace with the issued regulator permit or order when available.</t>
  </si>
  <si>
    <t>Corrected</t>
  </si>
  <si>
    <t>E-001</t>
  </si>
  <si>
    <t>MARAD's Hormuz advisory remains active and rates attack risk to commercial shipping as high.</t>
  </si>
  <si>
    <t>S-E01; S-E02</t>
  </si>
  <si>
    <t>A high-risk advisory need not mean total closure.</t>
  </si>
  <si>
    <t>Revise when MARAD cancels or materially changes the advisory.</t>
  </si>
  <si>
    <t>Source spine — Packet E</t>
  </si>
  <si>
    <t>E-002</t>
  </si>
  <si>
    <t>Lloyd's preliminary data show 39 Hormuz transits during 2026-07-20 through 2026-07-26, down from 82 the prior week, with inbound Gulf traffic more than 90% below the pre-strikes level.</t>
  </si>
  <si>
    <t>Reported / industry data</t>
  </si>
  <si>
    <t>Tracking coverage, preliminary classification, and weekly volatility may affect the count.</t>
  </si>
  <si>
    <t>Revise with final data or sustained normalization.</t>
  </si>
  <si>
    <t>LIVE / CONDITIONAL</t>
  </si>
  <si>
    <t>F-001</t>
  </si>
  <si>
    <t>Established reporting supports the existence of Dialog and exposed retreat records.</t>
  </si>
  <si>
    <t>Reported</t>
  </si>
  <si>
    <t>S-F01; S-F02</t>
  </si>
  <si>
    <t>Private networks and off-record events are common and do not imply unlawful coordination.</t>
  </si>
  <si>
    <t>Revise if reporting is retracted or authenticated records contradict it.</t>
  </si>
  <si>
    <t>Archive only</t>
  </si>
  <si>
    <t>Source spine — Packet F</t>
  </si>
  <si>
    <t>F-002</t>
  </si>
  <si>
    <t>The reported 222 count does not establish number intent, shared ideology, or conspiracy.</t>
  </si>
  <si>
    <t>Research brake</t>
  </si>
  <si>
    <t>S-F01; S-T04</t>
  </si>
  <si>
    <t>The number may be a draft, snapshot, cap, or ordinary registration outcome.</t>
  </si>
  <si>
    <t>Only authenticated registry mechanics can narrow the explanation.</t>
  </si>
  <si>
    <t>Governing brake</t>
  </si>
  <si>
    <t>Research Ledger / Symbolic Atlas</t>
  </si>
  <si>
    <t>T-006</t>
  </si>
  <si>
    <t>NASA identifies 3I/ATLAS as the third known interstellar object and records a 2025-07-01 discovery/reporting date.</t>
  </si>
  <si>
    <t>Ordinary survey discovery and classification.</t>
  </si>
  <si>
    <t>Revise if NASA updates the discovery history.</t>
  </si>
  <si>
    <t>Timekeeper Research Ledger — T-006</t>
  </si>
  <si>
    <t>T-007</t>
  </si>
  <si>
    <t>Reporting describes a red-heifer practice or rehearsal in Jerusalem in early July 2025; the exact date and ritual status require primary confirmation.</t>
  </si>
  <si>
    <t>Training, demonstration, or constituency-facing religious practice.</t>
  </si>
  <si>
    <t>Close with organizer or religious-authority records.</t>
  </si>
  <si>
    <t>Timekeeper Research Ledger — T-007</t>
  </si>
  <si>
    <t>T-010</t>
  </si>
  <si>
    <t>C/2025 R3 orbital and observing claims remain provisional until replaced by MPC or JPL ephemeris data.</t>
  </si>
  <si>
    <t>Orbital solutions and observing summaries can update.</t>
  </si>
  <si>
    <t>Attach authoritative orbital elements and calculate exact geometry.</t>
  </si>
  <si>
    <t>Timekeeper Research Ledger — T-010 to T-012</t>
  </si>
  <si>
    <t>T-014</t>
  </si>
  <si>
    <t>The span from 2025-03-02 to 2026-04-19 is 413 days, equal to 59 weeks.</t>
  </si>
  <si>
    <t>Arithmetic confirmed</t>
  </si>
  <si>
    <t>Calendar arithmetic</t>
  </si>
  <si>
    <t>Calculation</t>
  </si>
  <si>
    <t>Date subtraction alone implies no physical or intentional relationship.</t>
  </si>
  <si>
    <t>Revise only if an endpoint changes.</t>
  </si>
  <si>
    <t>Timekeeper Research Ledger — T-014</t>
  </si>
  <si>
    <t>T-017</t>
  </si>
  <si>
    <t>The Schumann-resonance baseline may be described as a physical phenomenon only after a primary geophysical source is attached; biological and signaling claims remain quarantined.</t>
  </si>
  <si>
    <t>A physical resonance does not imply biological command or intentional messaging.</t>
  </si>
  <si>
    <t>Attach a primary geophysical source; keep downstream claims separate.</t>
  </si>
  <si>
    <t>Timekeeper Research Ledger — T-017</t>
  </si>
  <si>
    <t>PH-001</t>
  </si>
  <si>
    <t>Isaiah 47 and Revelation 18:23 share pharmakeia vocabulary; Nahum 3:4 joins related pharmakon vocabulary to prostitution and nations, addressing Nineveh.</t>
  </si>
  <si>
    <t>Direct textual overlap</t>
  </si>
  <si>
    <t>S-PH01; S-PH02; S-PH03</t>
  </si>
  <si>
    <t>Ancient literary texts</t>
  </si>
  <si>
    <t>Literary reuse of prophetic city imagery does not require the same historical practitioners.</t>
  </si>
  <si>
    <t>Revise if edition-level checking changes the quoted wording, lemma identification or city referent.</t>
  </si>
  <si>
    <t>Verified textual comparison</t>
  </si>
  <si>
    <t>Hillman document — Babylon's pharmakeia: Isaiah, Nahum, and Revelation</t>
  </si>
  <si>
    <t>PH-002</t>
  </si>
  <si>
    <t>Revelation's commercial and political context supports a figurative application of sorcery to imperial deception, but commercial influence is not the noun's lexical definition.</t>
  </si>
  <si>
    <t>S-PH03; S-PH04; S-PH05; S-PH07</t>
  </si>
  <si>
    <t>Primary text plus lexical and scholarly interpretation</t>
  </si>
  <si>
    <t>Magical associations and figurative political force may coexist.</t>
  </si>
  <si>
    <t>Reassess against specific ancient usage or contextual evidence that better discriminates literal and figurative readings.</t>
  </si>
  <si>
    <t>Supported; mechanism open</t>
  </si>
  <si>
    <t>Hillman document — What carries over, and what changes</t>
  </si>
  <si>
    <t>PH-003</t>
  </si>
  <si>
    <t>The compared verses do not identify a specific chemical, dose, priestly office or continuing organization.</t>
  </si>
  <si>
    <t>Bounded scope of the cited passages</t>
  </si>
  <si>
    <t>An accusation or metaphor is insufficient to reconstruct an undocumented procedure or institution.</t>
  </si>
  <si>
    <t>A stronger historical claim requires separately dated evidence naming practices, actors and transmission links.</t>
  </si>
  <si>
    <t>No upgrade</t>
  </si>
  <si>
    <t>Hillman document — Connection to the existing research</t>
  </si>
  <si>
    <t>PH-004</t>
  </si>
  <si>
    <t>Isaiah's astrologers justify a comparison with celestial expertise, but these verses do not establish calendar administration or modify Cosmic Time Architecture III's mathematical findings.</t>
  </si>
  <si>
    <t>Thematic parallel / boundary</t>
  </si>
  <si>
    <t>S-PH01; S-PH03</t>
  </si>
  <si>
    <t>Literary comparison; project-method boundary</t>
  </si>
  <si>
    <t>Astral expertise and calendar control are distinct propositions; geometry requires independent mathematical evidence.</t>
  </si>
  <si>
    <t>Revise a calendar claim only with institutional evidence; revise mathematical conclusions only with relevant data and analysis.</t>
  </si>
  <si>
    <t>Context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</si>
</sst>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2">
    <font>
      <sz val="11.0"/>
      <color rgb="FF000000"/>
      <name val="Carlito"/>
      <scheme val="minor"/>
    </font>
    <font>
      <b/>
      <sz val="18.0"/>
      <color rgb="FFFFFFFF"/>
      <name val="Carlito"/>
    </font>
    <font>
      <i/>
      <sz val="10.0"/>
      <color rgb="FFFFFFFF"/>
      <name val="Carlito"/>
    </font>
    <font>
      <b/>
      <sz val="11.0"/>
      <color rgb="FFFFFFFF"/>
      <name val="Carlito"/>
    </font>
    <font>
      <b/>
      <sz val="9.0"/>
      <color rgb="FF1F2933"/>
      <name val="Carlito"/>
    </font>
    <font>
      <b/>
      <sz val="10.0"/>
      <color rgb="FFFFFFFF"/>
      <name val="Carlito"/>
    </font>
    <font>
      <b/>
      <sz val="11.0"/>
      <color rgb="FF17324D"/>
      <name val="Carlito"/>
    </font>
    <font>
      <sz val="9.0"/>
      <color rgb="FF1F2933"/>
      <name val="Carlito"/>
    </font>
    <font>
      <sz val="10.0"/>
      <color rgb="FF1F2933"/>
      <name val="Carlito"/>
    </font>
    <font/>
    <font>
      <b/>
      <sz val="10.0"/>
      <color rgb="FF1F2933"/>
      <name val="Carlito"/>
    </font>
    <font>
      <u/>
      <sz val="9.0"/>
      <color rgb="FF1F2933"/>
      <name val="Carlito"/>
    </font>
  </fonts>
  <fills count="10">
    <fill>
      <patternFill patternType="none"/>
    </fill>
    <fill>
      <patternFill patternType="lightGray"/>
    </fill>
    <fill>
      <patternFill patternType="solid">
        <fgColor rgb="FF17324D"/>
        <bgColor rgb="FF17324D"/>
      </patternFill>
    </fill>
    <fill>
      <patternFill patternType="solid">
        <fgColor rgb="FF244A67"/>
        <bgColor rgb="FF244A67"/>
      </patternFill>
    </fill>
    <fill>
      <patternFill patternType="solid">
        <fgColor rgb="FF2A7F7B"/>
        <bgColor rgb="FF2A7F7B"/>
      </patternFill>
    </fill>
    <fill>
      <patternFill patternType="solid">
        <fgColor rgb="FFDCEAF4"/>
        <bgColor rgb="FFDCEAF4"/>
      </patternFill>
    </fill>
    <fill>
      <patternFill patternType="solid">
        <fgColor rgb="FFDDEEDB"/>
        <bgColor rgb="FFDDEEDB"/>
      </patternFill>
    </fill>
    <fill>
      <patternFill patternType="solid">
        <fgColor rgb="FFDDEFEA"/>
        <bgColor rgb="FFDDEFEA"/>
      </patternFill>
    </fill>
    <fill>
      <patternFill patternType="solid">
        <fgColor rgb="FFF8EBC7"/>
        <bgColor rgb="FFF8EBC7"/>
      </patternFill>
    </fill>
    <fill>
      <patternFill patternType="solid">
        <fgColor rgb="FFF6D8D8"/>
        <bgColor rgb="FFF6D8D8"/>
      </patternFill>
    </fill>
  </fills>
  <borders count="8">
    <border/>
    <border>
      <left style="thin">
        <color rgb="FFCAD5DF"/>
      </left>
      <right style="thin">
        <color rgb="FFCAD5DF"/>
      </right>
      <top style="thin">
        <color rgb="FFCAD5DF"/>
      </top>
      <bottom style="thin">
        <color rgb="FFCAD5DF"/>
      </bottom>
    </border>
    <border>
      <left style="thin">
        <color rgb="FFCAD5DF"/>
      </left>
      <top style="thin">
        <color rgb="FFCAD5DF"/>
      </top>
    </border>
    <border>
      <top style="thin">
        <color rgb="FFCAD5DF"/>
      </top>
    </border>
    <border>
      <right style="thin">
        <color rgb="FFCAD5DF"/>
      </right>
      <top style="thin">
        <color rgb="FFCAD5DF"/>
      </top>
    </border>
    <border>
      <left style="thin">
        <color rgb="FFCAD5DF"/>
      </left>
      <bottom style="thin">
        <color rgb="FFCAD5DF"/>
      </bottom>
    </border>
    <border>
      <bottom style="thin">
        <color rgb="FFCAD5DF"/>
      </bottom>
    </border>
    <border>
      <right style="thin">
        <color rgb="FFCAD5DF"/>
      </right>
      <bottom style="thin">
        <color rgb="FFCAD5DF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center"/>
    </xf>
    <xf borderId="0" fillId="3" fontId="2" numFmtId="0" xfId="0" applyAlignment="1" applyFill="1" applyFont="1">
      <alignment vertical="center"/>
    </xf>
    <xf borderId="0" fillId="4" fontId="3" numFmtId="0" xfId="0" applyFill="1" applyFont="1"/>
    <xf borderId="1" fillId="0" fontId="4" numFmtId="0" xfId="0" applyAlignment="1" applyBorder="1" applyFont="1">
      <alignment shrinkToFit="0" vertical="top" wrapText="1"/>
    </xf>
    <xf borderId="1" fillId="3" fontId="5" numFmtId="0" xfId="0" applyAlignment="1" applyBorder="1" applyFill="1" applyFont="1">
      <alignment horizontal="left" readingOrder="0" shrinkToFit="0" vertical="center" wrapText="1"/>
    </xf>
    <xf borderId="1" fillId="0" fontId="6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1" fillId="5" fontId="4" numFmtId="0" xfId="0" applyAlignment="1" applyBorder="1" applyFill="1" applyFont="1">
      <alignment shrinkToFit="0" vertical="top" wrapText="1"/>
    </xf>
    <xf borderId="1" fillId="0" fontId="7" numFmtId="164" xfId="0" applyAlignment="1" applyBorder="1" applyFont="1" applyNumberFormat="1">
      <alignment shrinkToFit="0" vertical="top" wrapText="1"/>
    </xf>
    <xf borderId="1" fillId="5" fontId="6" numFmtId="0" xfId="0" applyAlignment="1" applyBorder="1" applyFill="1" applyFont="1">
      <alignment shrinkToFit="0" vertical="top" wrapText="1"/>
    </xf>
    <xf borderId="1" fillId="5" fontId="7" numFmtId="0" xfId="0" applyAlignment="1" applyBorder="1" applyFill="1" applyFont="1">
      <alignment shrinkToFit="0" vertical="top" wrapText="1"/>
    </xf>
    <xf borderId="1" fillId="6" fontId="7" numFmtId="0" xfId="0" applyAlignment="1" applyBorder="1" applyFill="1" applyFont="1">
      <alignment shrinkToFit="0" vertical="top" wrapText="1"/>
    </xf>
    <xf borderId="1" fillId="5" fontId="7" numFmtId="164" xfId="0" applyAlignment="1" applyBorder="1" applyFill="1" applyFont="1" applyNumberFormat="1">
      <alignment shrinkToFit="0" vertical="top" wrapText="1"/>
    </xf>
    <xf borderId="1" fillId="7" fontId="7" numFmtId="0" xfId="0" applyAlignment="1" applyBorder="1" applyFill="1" applyFont="1">
      <alignment shrinkToFit="0" vertical="top" wrapText="1"/>
    </xf>
    <xf borderId="1" fillId="5" fontId="7" numFmtId="0" xfId="0" applyAlignment="1" applyBorder="1" applyFill="1" applyFont="1">
      <alignment shrinkToFit="0" vertical="top" wrapText="1"/>
    </xf>
    <xf borderId="1" fillId="8" fontId="7" numFmtId="0" xfId="0" applyAlignment="1" applyBorder="1" applyFill="1" applyFont="1">
      <alignment shrinkToFit="0" vertical="top" wrapText="1"/>
    </xf>
    <xf borderId="1" fillId="9" fontId="7" numFmtId="0" xfId="0" applyAlignment="1" applyBorder="1" applyFill="1" applyFont="1">
      <alignment shrinkToFit="0" vertical="top" wrapText="1"/>
    </xf>
    <xf borderId="1" fillId="6" fontId="6" numFmtId="0" xfId="0" applyAlignment="1" applyBorder="1" applyFill="1" applyFont="1">
      <alignment shrinkToFit="0" vertical="top" wrapText="1"/>
    </xf>
    <xf borderId="0" fillId="5" fontId="7" numFmtId="164" xfId="0" applyAlignment="1" applyFill="1" applyFont="1" applyNumberFormat="1">
      <alignment shrinkToFit="0" vertical="top" wrapText="1"/>
    </xf>
    <xf borderId="0" fillId="5" fontId="7" numFmtId="0" xfId="0" applyAlignment="1" applyFill="1" applyFont="1">
      <alignment shrinkToFit="0" vertical="top" wrapText="1"/>
    </xf>
    <xf borderId="0" fillId="3" fontId="3" numFmtId="0" xfId="0" applyFill="1" applyFont="1"/>
    <xf borderId="2" fillId="5" fontId="8" numFmtId="0" xfId="0" applyAlignment="1" applyBorder="1" applyFill="1" applyFont="1">
      <alignment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2" fillId="8" fontId="10" numFmtId="0" xfId="0" applyAlignment="1" applyBorder="1" applyFill="1" applyFont="1">
      <alignment shrinkToFit="0" vertical="center" wrapText="1"/>
    </xf>
    <xf borderId="0" fillId="0" fontId="7" numFmtId="0" xfId="0" applyAlignment="1" applyFont="1">
      <alignment shrinkToFit="0" vertical="top" wrapText="1"/>
    </xf>
    <xf borderId="0" fillId="7" fontId="7" numFmtId="0" xfId="0" applyAlignment="1" applyFill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8" fontId="7" numFmtId="0" xfId="0" applyAlignment="1" applyFill="1" applyFont="1">
      <alignment shrinkToFit="0" vertical="top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245B2A"/>
      </font>
      <fill>
        <patternFill patternType="solid">
          <fgColor rgb="FFD9EAD3"/>
          <bgColor rgb="FFD9EAD3"/>
        </patternFill>
      </fill>
      <border/>
    </dxf>
    <dxf>
      <font>
        <b/>
        <color rgb="FF8A1C1C"/>
      </font>
      <fill>
        <patternFill patternType="solid">
          <fgColor rgb="FFF4CCCC"/>
          <bgColor rgb="FFF4CCCC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color rgb="FF344054"/>
      </font>
      <fill>
        <patternFill patternType="solid">
          <fgColor rgb="FFF2F4F7"/>
          <bgColor rgb="FFF2F4F7"/>
        </patternFill>
      </fill>
      <border/>
    </dxf>
  </dxfs>
  <tableStyles count="5">
    <tableStyle count="4" pivot="0" name="Maintenance Ledg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shboard v0.5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 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hange 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laim Regist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E5:J13" displayName="PacketSummaryTable" name="PacketSummaryTable" id="2">
  <tableColumns count="6">
    <tableColumn name="Packet" id="1"/>
    <tableColumn name="Node" id="2"/>
    <tableColumn name="Status" id="3"/>
    <tableColumn name="Confidence" id="4"/>
    <tableColumn name="Next Check" id="5"/>
    <tableColumn name="Clean Finding" id="6"/>
  </tableColumns>
  <tableStyleInfo name="Dashboard v0.5-style" showColumnStripes="0" showFirstColumn="1" showLastColumn="1" showRowStripes="1"/>
</table>
</file>

<file path=xl/tables/table2.xml><?xml version="1.0" encoding="utf-8"?>
<table xmlns="http://schemas.openxmlformats.org/spreadsheetml/2006/main" ref="A4:J12" displayName="MaintenanceLedgerTable" name="MaintenanceLedgerTable" id="1">
  <tableColumns count="10">
    <tableColumn name="Packet" id="1"/>
    <tableColumn name="Node" id="2"/>
    <tableColumn name="Prior Top Gap" id="3"/>
    <tableColumn name="Maintenance Finding — 2026-07-29" id="4"/>
    <tableColumn name="Best Source Lane" id="5"/>
    <tableColumn name="Confidence" id="6"/>
    <tableColumn name="Status" id="7"/>
    <tableColumn name="Brake / Limitation" id="8"/>
    <tableColumn name="Next Check" id="9"/>
    <tableColumn name="Next Action" id="10"/>
  </tableColumns>
  <tableStyleInfo name="Maintenance Ledger-style" showColumnStripes="0" showFirstColumn="1" showLastColumn="1" showRowStripes="1"/>
</table>
</file>

<file path=xl/tables/table3.xml><?xml version="1.0" encoding="utf-8"?>
<table xmlns="http://schemas.openxmlformats.org/spreadsheetml/2006/main" ref="A4:J34" displayName="SourceRegisterTable" name="SourceRegisterTable" id="3">
  <tableColumns count="10">
    <tableColumn name="Source ID" id="1"/>
    <tableColumn name="Packet" id="2"/>
    <tableColumn name="Source Class" id="3"/>
    <tableColumn name="Source Role" id="4"/>
    <tableColumn name="Publisher" id="5"/>
    <tableColumn name="Date" id="6"/>
    <tableColumn name="Title" id="7"/>
    <tableColumn name="Load-Bearing Finding" id="8"/>
    <tableColumn name="Load-Bearing?" id="9"/>
    <tableColumn name="URL" id="10"/>
  </tableColumns>
  <tableStyleInfo name="Source Register-style" showColumnStripes="0" showFirstColumn="1" showLastColumn="1" showRowStripes="1"/>
</table>
</file>

<file path=xl/tables/table4.xml><?xml version="1.0" encoding="utf-8"?>
<table xmlns="http://schemas.openxmlformats.org/spreadsheetml/2006/main" ref="A4:E19" displayName="ChangeLogTable" name="ChangeLogTable" id="4">
  <tableColumns count="5">
    <tableColumn name="Date" id="1"/>
    <tableColumn name="Version" id="2"/>
    <tableColumn name="Packet" id="3"/>
    <tableColumn name="Change" id="4"/>
    <tableColumn name="Note" id="5"/>
  </tableColumns>
  <tableStyleInfo name="Change Log-style" showColumnStripes="0" showFirstColumn="1" showLastColumn="1" showRowStripes="1"/>
</table>
</file>

<file path=xl/tables/table5.xml><?xml version="1.0" encoding="utf-8"?>
<table xmlns="http://schemas.openxmlformats.org/spreadsheetml/2006/main" ref="A4:L34" displayName="ClaimRegisterTable" name="ClaimRegisterTable" id="5">
  <tableColumns count="12">
    <tableColumn name="Claim ID" id="1"/>
    <tableColumn name="Packet" id="2"/>
    <tableColumn name="Exact Proposition" id="3"/>
    <tableColumn name="Lane" id="4"/>
    <tableColumn name="Source IDs" id="5"/>
    <tableColumn name="Source Role" id="6"/>
    <tableColumn name="Null Model / Mundane Explanation" id="7"/>
    <tableColumn name="Falsifier / Revision Criterion" id="8"/>
    <tableColumn name="Status" id="9"/>
    <tableColumn name="Confidence" id="10"/>
    <tableColumn name="Review Date" id="11"/>
    <tableColumn name="Document Location" id="12"/>
  </tableColumns>
  <tableStyleInfo name="Claim Regist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hekoinebible.com/text/rahlfs/isaiah/47.html" TargetMode="External"/><Relationship Id="rId2" Type="http://schemas.openxmlformats.org/officeDocument/2006/relationships/hyperlink" Target="https://www.die-bibel.de/en/bible/LXX/NAM.3" TargetMode="External"/><Relationship Id="rId3" Type="http://schemas.openxmlformats.org/officeDocument/2006/relationships/hyperlink" Target="https://biblehub.com/text/revelation/18-23.htm" TargetMode="External"/><Relationship Id="rId4" Type="http://schemas.openxmlformats.org/officeDocument/2006/relationships/hyperlink" Target="https://biblehub.com/text/revelation/18-3.htm" TargetMode="External"/><Relationship Id="rId10" Type="http://schemas.openxmlformats.org/officeDocument/2006/relationships/table" Target="../tables/table3.xml"/><Relationship Id="rId5" Type="http://schemas.openxmlformats.org/officeDocument/2006/relationships/hyperlink" Target="https://atlas.perseus.tufts.edu/dictionaries/entry/urn:cite2:scaife-viewer:dictionaries.v1:lsj-n110318/" TargetMode="External"/><Relationship Id="rId6" Type="http://schemas.openxmlformats.org/officeDocument/2006/relationships/hyperlink" Target="https://tips.translation.bible/story/translation-commentary-on-revelation-1823/" TargetMode="External"/><Relationship Id="rId7" Type="http://schemas.openxmlformats.org/officeDocument/2006/relationships/hyperlink" Target="https://www.claremontpress.com/uploads/3/4/8/4/34846481/the_theme_of_decepticsp_proof110317.pdf" TargetMode="External"/><Relationship Id="rId8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26.0"/>
    <col customWidth="1" min="2" max="2" width="23.0"/>
    <col customWidth="1" min="3" max="3" width="46.0"/>
    <col customWidth="1" min="4" max="4" width="3.0"/>
    <col customWidth="1" min="5" max="5" width="9.0"/>
    <col customWidth="1" min="6" max="6" width="31.0"/>
    <col customWidth="1" min="7" max="7" width="28.0"/>
    <col customWidth="1" min="8" max="8" width="14.0"/>
    <col customWidth="1" min="9" max="9" width="13.0"/>
    <col customWidth="1" min="10" max="10" width="66.0"/>
    <col customWidth="1" min="11" max="26" width="8.63"/>
  </cols>
  <sheetData>
    <row r="1" ht="33.75" customHeight="1">
      <c r="A1" s="1" t="s">
        <v>1</v>
      </c>
    </row>
    <row r="2" ht="24.0" customHeight="1">
      <c r="A2" s="2" t="s">
        <v>3</v>
      </c>
    </row>
    <row r="4">
      <c r="A4" s="3" t="s">
        <v>5</v>
      </c>
      <c r="E4" s="3" t="s">
        <v>7</v>
      </c>
    </row>
    <row r="5" ht="31.5" customHeight="1">
      <c r="A5" s="4" t="s">
        <v>9</v>
      </c>
      <c r="B5" s="6">
        <f>COUNTA('Source Register'!A5:A100)</f>
        <v>30</v>
      </c>
      <c r="C5" s="7" t="s">
        <v>21</v>
      </c>
      <c r="E5" s="5" t="s">
        <v>8</v>
      </c>
      <c r="F5" s="5" t="s">
        <v>11</v>
      </c>
      <c r="G5" s="5" t="s">
        <v>24</v>
      </c>
      <c r="H5" s="5" t="s">
        <v>23</v>
      </c>
      <c r="I5" s="5" t="s">
        <v>28</v>
      </c>
      <c r="J5" s="5" t="s">
        <v>35</v>
      </c>
    </row>
    <row r="6">
      <c r="A6" s="9" t="s">
        <v>38</v>
      </c>
      <c r="B6" s="11">
        <f>COUNTIF('Source Register'!I5:I100,"Yes")</f>
        <v>15</v>
      </c>
      <c r="C6" s="12" t="s">
        <v>50</v>
      </c>
      <c r="E6" s="8" t="s">
        <v>33</v>
      </c>
      <c r="F6" s="8" t="s">
        <v>37</v>
      </c>
      <c r="G6" s="13" t="s">
        <v>48</v>
      </c>
      <c r="H6" s="8" t="s">
        <v>45</v>
      </c>
      <c r="I6" s="10">
        <v>46251.5</v>
      </c>
      <c r="J6" s="8" t="s">
        <v>41</v>
      </c>
    </row>
    <row r="7">
      <c r="A7" s="4" t="s">
        <v>64</v>
      </c>
      <c r="B7" s="6">
        <f>COUNTIF('Source Register'!D5:D100,"Regulator/Release")+COUNTIF('Source Register'!D5:D100,"Regulator/Order")+COUNTIF('Source Register'!D5:D100,"Regulator/Report")+COUNTIF('Source Register'!D5:D100,"Regulator/Advisory")+COUNTIF('Source Register'!D5:D100,"Regulator/Register")+COUNTIF('Source Register'!D5:D100,"Standards Body")</f>
        <v>8</v>
      </c>
      <c r="C7" s="7" t="s">
        <v>79</v>
      </c>
      <c r="E7" s="16" t="s">
        <v>59</v>
      </c>
      <c r="F7" s="16" t="s">
        <v>63</v>
      </c>
      <c r="G7" s="17" t="s">
        <v>80</v>
      </c>
      <c r="H7" s="16" t="s">
        <v>84</v>
      </c>
      <c r="I7" s="14">
        <v>46296.5</v>
      </c>
      <c r="J7" s="16" t="s">
        <v>67</v>
      </c>
    </row>
    <row r="8">
      <c r="A8" s="9" t="s">
        <v>92</v>
      </c>
      <c r="B8" s="11">
        <f>COUNTIF('Source Register'!D5:D100,"Party Primary")</f>
        <v>5</v>
      </c>
      <c r="C8" s="12" t="s">
        <v>97</v>
      </c>
      <c r="E8" s="8" t="s">
        <v>99</v>
      </c>
      <c r="F8" s="8" t="s">
        <v>101</v>
      </c>
      <c r="G8" s="13" t="s">
        <v>104</v>
      </c>
      <c r="H8" s="8" t="s">
        <v>45</v>
      </c>
      <c r="I8" s="10">
        <v>46256.5</v>
      </c>
      <c r="J8" s="8" t="s">
        <v>109</v>
      </c>
    </row>
    <row r="9">
      <c r="A9" s="4" t="s">
        <v>111</v>
      </c>
      <c r="B9" s="6">
        <f>COUNTA('Claim Register'!A5:A100)</f>
        <v>30</v>
      </c>
      <c r="C9" s="7" t="s">
        <v>116</v>
      </c>
      <c r="E9" s="16" t="s">
        <v>74</v>
      </c>
      <c r="F9" s="16" t="s">
        <v>118</v>
      </c>
      <c r="G9" s="17" t="s">
        <v>120</v>
      </c>
      <c r="H9" s="16" t="s">
        <v>121</v>
      </c>
      <c r="I9" s="14">
        <v>46266.5</v>
      </c>
      <c r="J9" s="16" t="s">
        <v>127</v>
      </c>
    </row>
    <row r="10">
      <c r="A10" s="9" t="s">
        <v>129</v>
      </c>
      <c r="B10" s="11">
        <f>COUNTIF('Maintenance Ledger'!G5:G100,"LIVE / HIGH RISK")</f>
        <v>1</v>
      </c>
      <c r="C10" s="12" t="s">
        <v>134</v>
      </c>
      <c r="E10" s="8" t="s">
        <v>82</v>
      </c>
      <c r="F10" s="8" t="s">
        <v>136</v>
      </c>
      <c r="G10" s="18" t="s">
        <v>138</v>
      </c>
      <c r="H10" s="8" t="s">
        <v>45</v>
      </c>
      <c r="I10" s="10">
        <v>46239.5</v>
      </c>
      <c r="J10" s="8" t="s">
        <v>144</v>
      </c>
    </row>
    <row r="11">
      <c r="A11" s="4" t="s">
        <v>147</v>
      </c>
      <c r="B11" s="19" t="s">
        <v>148</v>
      </c>
      <c r="C11" s="7" t="s">
        <v>151</v>
      </c>
      <c r="E11" s="16" t="s">
        <v>153</v>
      </c>
      <c r="F11" s="16" t="s">
        <v>155</v>
      </c>
      <c r="G11" s="15" t="s">
        <v>156</v>
      </c>
      <c r="H11" s="16" t="s">
        <v>84</v>
      </c>
      <c r="I11" s="14">
        <v>46250.5</v>
      </c>
      <c r="J11" s="16" t="s">
        <v>161</v>
      </c>
    </row>
    <row r="12">
      <c r="E12" s="8" t="s">
        <v>90</v>
      </c>
      <c r="F12" s="8" t="s">
        <v>165</v>
      </c>
      <c r="G12" s="17" t="s">
        <v>168</v>
      </c>
      <c r="H12" s="8" t="s">
        <v>84</v>
      </c>
      <c r="I12" s="10">
        <v>46263.5</v>
      </c>
      <c r="J12" s="8" t="s">
        <v>175</v>
      </c>
    </row>
    <row r="13">
      <c r="E13" s="16" t="s">
        <v>166</v>
      </c>
      <c r="F13" s="16" t="s">
        <v>180</v>
      </c>
      <c r="G13" s="13" t="s">
        <v>181</v>
      </c>
      <c r="H13" s="16" t="s">
        <v>45</v>
      </c>
      <c r="I13" s="14">
        <v>46263.5</v>
      </c>
      <c r="J13" s="16" t="s">
        <v>187</v>
      </c>
    </row>
    <row r="14">
      <c r="A14" s="22" t="s">
        <v>188</v>
      </c>
    </row>
    <row r="15" ht="54.0" customHeight="1">
      <c r="A15" s="23" t="s">
        <v>191</v>
      </c>
      <c r="B15" s="24"/>
      <c r="C15" s="24"/>
      <c r="D15" s="24"/>
      <c r="E15" s="24"/>
      <c r="F15" s="24"/>
      <c r="G15" s="24"/>
      <c r="H15" s="24"/>
      <c r="I15" s="24"/>
      <c r="J15" s="25"/>
    </row>
    <row r="16">
      <c r="A16" s="26"/>
      <c r="B16" s="27"/>
      <c r="C16" s="27"/>
      <c r="D16" s="27"/>
      <c r="E16" s="27"/>
      <c r="F16" s="27"/>
      <c r="G16" s="27"/>
      <c r="H16" s="27"/>
      <c r="I16" s="27"/>
      <c r="J16" s="28"/>
    </row>
    <row r="18" ht="39.75" customHeight="1">
      <c r="A18" s="22" t="s">
        <v>198</v>
      </c>
    </row>
    <row r="19">
      <c r="A19" s="29" t="s">
        <v>199</v>
      </c>
      <c r="B19" s="24"/>
      <c r="C19" s="24"/>
      <c r="D19" s="24"/>
      <c r="E19" s="24"/>
      <c r="F19" s="24"/>
      <c r="G19" s="24"/>
      <c r="H19" s="24"/>
      <c r="I19" s="24"/>
      <c r="J19" s="25"/>
    </row>
    <row r="20">
      <c r="A20" s="26"/>
      <c r="B20" s="27"/>
      <c r="C20" s="27"/>
      <c r="D20" s="27"/>
      <c r="E20" s="27"/>
      <c r="F20" s="27"/>
      <c r="G20" s="27"/>
      <c r="H20" s="27"/>
      <c r="I20" s="27"/>
      <c r="J20" s="2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J1"/>
    <mergeCell ref="A2:J2"/>
    <mergeCell ref="A4:C4"/>
    <mergeCell ref="E4:J4"/>
    <mergeCell ref="A14:J14"/>
    <mergeCell ref="A15:J16"/>
    <mergeCell ref="A18:J18"/>
    <mergeCell ref="A19:J20"/>
  </mergeCells>
  <conditionalFormatting sqref="G6:G12">
    <cfRule type="expression" dxfId="5" priority="1">
      <formula>OR(ISNUMBER(SEARCH("UPGRADED",G6)),ISNUMBER(SEARCH("CONFIRMED",G6)),ISNUMBER(SEARCH("DONE",G6)))</formula>
    </cfRule>
  </conditionalFormatting>
  <conditionalFormatting sqref="G6:G12">
    <cfRule type="expression" dxfId="6" priority="2">
      <formula>ISNUMBER(SEARCH("LIVE",G6))</formula>
    </cfRule>
  </conditionalFormatting>
  <conditionalFormatting sqref="G6:G12">
    <cfRule type="expression" dxfId="7" priority="3">
      <formula>OR(ISNUMBER(SEARCH("PARTIAL",G6)),ISNUMBER(SEARCH("OPEN",G6)),ISNUMBER(SEARCH("UNCHANGED",G6)))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8.0"/>
    <col customWidth="1" min="2" max="2" width="29.0"/>
    <col customWidth="1" min="3" max="3" width="26.0"/>
    <col customWidth="1" min="4" max="4" width="56.0"/>
    <col customWidth="1" min="5" max="5" width="28.0"/>
    <col customWidth="1" min="6" max="6" width="13.0"/>
    <col customWidth="1" min="7" max="7" width="27.0"/>
    <col customWidth="1" min="8" max="8" width="42.0"/>
    <col customWidth="1" min="9" max="9" width="13.0"/>
    <col customWidth="1" min="10" max="10" width="44.0"/>
    <col customWidth="1" min="11" max="26" width="8.63"/>
  </cols>
  <sheetData>
    <row r="1" ht="33.75" customHeight="1">
      <c r="A1" s="1" t="s">
        <v>0</v>
      </c>
    </row>
    <row r="2" ht="24.0" customHeight="1">
      <c r="A2" s="2" t="s">
        <v>4</v>
      </c>
    </row>
    <row r="4" ht="31.5" customHeight="1">
      <c r="A4" s="5" t="s">
        <v>8</v>
      </c>
      <c r="B4" s="5" t="s">
        <v>11</v>
      </c>
      <c r="C4" s="5" t="s">
        <v>13</v>
      </c>
      <c r="D4" s="5" t="s">
        <v>17</v>
      </c>
      <c r="E4" s="5" t="s">
        <v>19</v>
      </c>
      <c r="F4" s="5" t="s">
        <v>23</v>
      </c>
      <c r="G4" s="5" t="s">
        <v>24</v>
      </c>
      <c r="H4" s="5" t="s">
        <v>26</v>
      </c>
      <c r="I4" s="5" t="s">
        <v>28</v>
      </c>
      <c r="J4" s="5" t="s">
        <v>30</v>
      </c>
    </row>
    <row r="5">
      <c r="A5" s="8" t="s">
        <v>33</v>
      </c>
      <c r="B5" s="8" t="s">
        <v>37</v>
      </c>
      <c r="C5" s="8" t="s">
        <v>39</v>
      </c>
      <c r="D5" s="8" t="s">
        <v>41</v>
      </c>
      <c r="E5" s="8" t="s">
        <v>43</v>
      </c>
      <c r="F5" s="8" t="s">
        <v>45</v>
      </c>
      <c r="G5" s="13" t="s">
        <v>48</v>
      </c>
      <c r="H5" s="8" t="s">
        <v>54</v>
      </c>
      <c r="I5" s="10">
        <v>46251.5</v>
      </c>
      <c r="J5" s="8" t="s">
        <v>56</v>
      </c>
    </row>
    <row r="6">
      <c r="A6" s="16" t="s">
        <v>59</v>
      </c>
      <c r="B6" s="16" t="s">
        <v>63</v>
      </c>
      <c r="C6" s="16" t="s">
        <v>65</v>
      </c>
      <c r="D6" s="16" t="s">
        <v>67</v>
      </c>
      <c r="E6" s="16" t="s">
        <v>70</v>
      </c>
      <c r="F6" s="16" t="s">
        <v>84</v>
      </c>
      <c r="G6" s="17" t="s">
        <v>80</v>
      </c>
      <c r="H6" s="16" t="s">
        <v>145</v>
      </c>
      <c r="I6" s="14">
        <v>46296.5</v>
      </c>
      <c r="J6" s="16" t="s">
        <v>152</v>
      </c>
    </row>
    <row r="7">
      <c r="A7" s="8" t="s">
        <v>99</v>
      </c>
      <c r="B7" s="8" t="s">
        <v>101</v>
      </c>
      <c r="C7" s="8" t="s">
        <v>162</v>
      </c>
      <c r="D7" s="8" t="s">
        <v>109</v>
      </c>
      <c r="E7" s="8" t="s">
        <v>164</v>
      </c>
      <c r="F7" s="8" t="s">
        <v>45</v>
      </c>
      <c r="G7" s="13" t="s">
        <v>104</v>
      </c>
      <c r="H7" s="8" t="s">
        <v>173</v>
      </c>
      <c r="I7" s="10">
        <v>46256.5</v>
      </c>
      <c r="J7" s="8" t="s">
        <v>176</v>
      </c>
    </row>
    <row r="8">
      <c r="A8" s="16" t="s">
        <v>74</v>
      </c>
      <c r="B8" s="16" t="s">
        <v>118</v>
      </c>
      <c r="C8" s="16" t="s">
        <v>185</v>
      </c>
      <c r="D8" s="16" t="s">
        <v>127</v>
      </c>
      <c r="E8" s="16" t="s">
        <v>189</v>
      </c>
      <c r="F8" s="16" t="s">
        <v>121</v>
      </c>
      <c r="G8" s="17" t="s">
        <v>120</v>
      </c>
      <c r="H8" s="16" t="s">
        <v>193</v>
      </c>
      <c r="I8" s="14">
        <v>46266.5</v>
      </c>
      <c r="J8" s="16" t="s">
        <v>195</v>
      </c>
    </row>
    <row r="9">
      <c r="A9" s="8" t="s">
        <v>82</v>
      </c>
      <c r="B9" s="8" t="s">
        <v>136</v>
      </c>
      <c r="C9" s="8" t="s">
        <v>200</v>
      </c>
      <c r="D9" s="8" t="s">
        <v>144</v>
      </c>
      <c r="E9" s="8" t="s">
        <v>201</v>
      </c>
      <c r="F9" s="8" t="s">
        <v>45</v>
      </c>
      <c r="G9" s="18" t="s">
        <v>138</v>
      </c>
      <c r="H9" s="8" t="s">
        <v>205</v>
      </c>
      <c r="I9" s="10">
        <v>46239.5</v>
      </c>
      <c r="J9" s="8" t="s">
        <v>207</v>
      </c>
    </row>
    <row r="10">
      <c r="A10" s="16" t="s">
        <v>153</v>
      </c>
      <c r="B10" s="16" t="s">
        <v>155</v>
      </c>
      <c r="C10" s="16" t="s">
        <v>209</v>
      </c>
      <c r="D10" s="16" t="s">
        <v>161</v>
      </c>
      <c r="E10" s="16" t="s">
        <v>212</v>
      </c>
      <c r="F10" s="16" t="s">
        <v>84</v>
      </c>
      <c r="G10" s="15" t="s">
        <v>156</v>
      </c>
      <c r="H10" s="16" t="s">
        <v>215</v>
      </c>
      <c r="I10" s="14">
        <v>46250.5</v>
      </c>
      <c r="J10" s="16" t="s">
        <v>217</v>
      </c>
    </row>
    <row r="11">
      <c r="A11" s="8" t="s">
        <v>90</v>
      </c>
      <c r="B11" s="8" t="s">
        <v>165</v>
      </c>
      <c r="C11" s="8" t="s">
        <v>221</v>
      </c>
      <c r="D11" s="8" t="s">
        <v>175</v>
      </c>
      <c r="E11" s="8" t="s">
        <v>223</v>
      </c>
      <c r="F11" s="8" t="s">
        <v>84</v>
      </c>
      <c r="G11" s="17" t="s">
        <v>168</v>
      </c>
      <c r="H11" s="8" t="s">
        <v>226</v>
      </c>
      <c r="I11" s="10">
        <v>46263.5</v>
      </c>
      <c r="J11" s="8" t="s">
        <v>229</v>
      </c>
    </row>
    <row r="12">
      <c r="A12" s="16" t="s">
        <v>166</v>
      </c>
      <c r="B12" s="16" t="s">
        <v>180</v>
      </c>
      <c r="C12" s="16" t="s">
        <v>232</v>
      </c>
      <c r="D12" s="16" t="s">
        <v>187</v>
      </c>
      <c r="E12" s="16" t="s">
        <v>235</v>
      </c>
      <c r="F12" s="16" t="s">
        <v>45</v>
      </c>
      <c r="G12" s="13" t="s">
        <v>181</v>
      </c>
      <c r="H12" s="16" t="s">
        <v>239</v>
      </c>
      <c r="I12" s="14">
        <v>46263.5</v>
      </c>
      <c r="J12" s="16" t="s">
        <v>241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G2:G8">
    <cfRule type="expression" dxfId="5" priority="1">
      <formula>OR(ISNUMBER(SEARCH("UPGRADED",G2)),ISNUMBER(SEARCH("CONFIRMED",G2)),ISNUMBER(SEARCH("DONE",G2)))</formula>
    </cfRule>
  </conditionalFormatting>
  <conditionalFormatting sqref="G2:G8">
    <cfRule type="expression" dxfId="6" priority="2">
      <formula>ISNUMBER(SEARCH("LIVE",G2))</formula>
    </cfRule>
  </conditionalFormatting>
  <conditionalFormatting sqref="G2:G8">
    <cfRule type="expression" dxfId="7" priority="3">
      <formula>OR(ISNUMBER(SEARCH("PARTIAL",G2)),ISNUMBER(SEARCH("OPEN",G2)),ISNUMBER(SEARCH("UNCHANGED",G2)))</formula>
    </cfRule>
  </conditionalFormatting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2.0"/>
    <col customWidth="1" min="2" max="2" width="8.0"/>
    <col customWidth="1" min="3" max="4" width="20.0"/>
    <col customWidth="1" min="5" max="5" width="18.0"/>
    <col customWidth="1" min="6" max="6" width="12.0"/>
    <col customWidth="1" min="7" max="7" width="34.0"/>
    <col customWidth="1" min="8" max="8" width="58.0"/>
    <col customWidth="1" min="9" max="9" width="14.0"/>
    <col customWidth="1" min="10" max="10" width="42.0"/>
    <col customWidth="1" min="11" max="26" width="8.63"/>
  </cols>
  <sheetData>
    <row r="1" ht="33.75" customHeight="1">
      <c r="A1" s="1" t="s">
        <v>2</v>
      </c>
    </row>
    <row r="2" ht="24.0" customHeight="1">
      <c r="A2" s="2" t="s">
        <v>6</v>
      </c>
    </row>
    <row r="4" ht="31.5" customHeight="1">
      <c r="A4" s="5" t="s">
        <v>10</v>
      </c>
      <c r="B4" s="5" t="s">
        <v>8</v>
      </c>
      <c r="C4" s="5" t="s">
        <v>12</v>
      </c>
      <c r="D4" s="5" t="s">
        <v>14</v>
      </c>
      <c r="E4" s="5" t="s">
        <v>16</v>
      </c>
      <c r="F4" s="5" t="s">
        <v>18</v>
      </c>
      <c r="G4" s="5" t="s">
        <v>20</v>
      </c>
      <c r="H4" s="5" t="s">
        <v>25</v>
      </c>
      <c r="I4" s="5" t="s">
        <v>27</v>
      </c>
      <c r="J4" s="5" t="s">
        <v>29</v>
      </c>
    </row>
    <row r="5">
      <c r="A5" s="8" t="s">
        <v>32</v>
      </c>
      <c r="B5" s="8" t="s">
        <v>33</v>
      </c>
      <c r="C5" s="8" t="s">
        <v>40</v>
      </c>
      <c r="D5" s="8" t="s">
        <v>42</v>
      </c>
      <c r="E5" s="8" t="s">
        <v>44</v>
      </c>
      <c r="F5" s="10">
        <v>46191.5</v>
      </c>
      <c r="G5" s="8" t="s">
        <v>49</v>
      </c>
      <c r="H5" s="8" t="s">
        <v>52</v>
      </c>
      <c r="I5" s="15" t="s">
        <v>55</v>
      </c>
      <c r="J5" s="8" t="s">
        <v>58</v>
      </c>
    </row>
    <row r="6">
      <c r="A6" s="16" t="s">
        <v>62</v>
      </c>
      <c r="B6" s="16" t="s">
        <v>33</v>
      </c>
      <c r="C6" s="16" t="s">
        <v>40</v>
      </c>
      <c r="D6" s="16" t="s">
        <v>66</v>
      </c>
      <c r="E6" s="16" t="s">
        <v>68</v>
      </c>
      <c r="F6" s="14">
        <v>46136.5</v>
      </c>
      <c r="G6" s="16" t="s">
        <v>72</v>
      </c>
      <c r="H6" s="16" t="s">
        <v>73</v>
      </c>
      <c r="I6" s="15" t="s">
        <v>55</v>
      </c>
      <c r="J6" s="16" t="s">
        <v>75</v>
      </c>
    </row>
    <row r="7">
      <c r="A7" s="8" t="s">
        <v>77</v>
      </c>
      <c r="B7" s="8" t="s">
        <v>33</v>
      </c>
      <c r="C7" s="8" t="s">
        <v>40</v>
      </c>
      <c r="D7" s="8" t="s">
        <v>66</v>
      </c>
      <c r="E7" s="8" t="s">
        <v>81</v>
      </c>
      <c r="F7" s="10">
        <v>46155.5</v>
      </c>
      <c r="G7" s="8" t="s">
        <v>83</v>
      </c>
      <c r="H7" s="8" t="s">
        <v>86</v>
      </c>
      <c r="I7" s="15" t="s">
        <v>55</v>
      </c>
      <c r="J7" s="8" t="s">
        <v>88</v>
      </c>
    </row>
    <row r="8">
      <c r="A8" s="16" t="s">
        <v>89</v>
      </c>
      <c r="B8" s="16" t="s">
        <v>59</v>
      </c>
      <c r="C8" s="16" t="s">
        <v>91</v>
      </c>
      <c r="D8" s="16" t="s">
        <v>94</v>
      </c>
      <c r="E8" s="16" t="s">
        <v>96</v>
      </c>
      <c r="F8" s="14">
        <v>46027.5</v>
      </c>
      <c r="G8" s="16" t="s">
        <v>98</v>
      </c>
      <c r="H8" s="16" t="s">
        <v>100</v>
      </c>
      <c r="I8" s="17" t="s">
        <v>103</v>
      </c>
      <c r="J8" s="16" t="s">
        <v>106</v>
      </c>
    </row>
    <row r="9">
      <c r="A9" s="8" t="s">
        <v>108</v>
      </c>
      <c r="B9" s="8" t="s">
        <v>59</v>
      </c>
      <c r="C9" s="8" t="s">
        <v>91</v>
      </c>
      <c r="D9" s="8" t="s">
        <v>94</v>
      </c>
      <c r="E9" s="8" t="s">
        <v>112</v>
      </c>
      <c r="F9" s="10">
        <v>46081.5</v>
      </c>
      <c r="G9" s="8" t="s">
        <v>115</v>
      </c>
      <c r="H9" s="8" t="s">
        <v>117</v>
      </c>
      <c r="I9" s="17" t="s">
        <v>103</v>
      </c>
      <c r="J9" s="8" t="s">
        <v>119</v>
      </c>
    </row>
    <row r="10">
      <c r="A10" s="16" t="s">
        <v>122</v>
      </c>
      <c r="B10" s="16" t="s">
        <v>59</v>
      </c>
      <c r="C10" s="16" t="s">
        <v>40</v>
      </c>
      <c r="D10" s="16" t="s">
        <v>125</v>
      </c>
      <c r="E10" s="16" t="s">
        <v>126</v>
      </c>
      <c r="F10" s="14">
        <v>46105.5</v>
      </c>
      <c r="G10" s="16" t="s">
        <v>128</v>
      </c>
      <c r="H10" s="16" t="s">
        <v>130</v>
      </c>
      <c r="I10" s="17" t="s">
        <v>103</v>
      </c>
      <c r="J10" s="16" t="s">
        <v>132</v>
      </c>
    </row>
    <row r="11">
      <c r="A11" s="8" t="s">
        <v>135</v>
      </c>
      <c r="B11" s="8" t="s">
        <v>99</v>
      </c>
      <c r="C11" s="8" t="s">
        <v>137</v>
      </c>
      <c r="D11" s="8" t="s">
        <v>137</v>
      </c>
      <c r="E11" s="8" t="s">
        <v>140</v>
      </c>
      <c r="F11" s="10">
        <v>46185.5</v>
      </c>
      <c r="G11" s="8" t="s">
        <v>142</v>
      </c>
      <c r="H11" s="8" t="s">
        <v>143</v>
      </c>
      <c r="I11" s="15" t="s">
        <v>55</v>
      </c>
      <c r="J11" s="8" t="s">
        <v>146</v>
      </c>
    </row>
    <row r="12">
      <c r="A12" s="16" t="s">
        <v>150</v>
      </c>
      <c r="B12" s="16" t="s">
        <v>99</v>
      </c>
      <c r="C12" s="16" t="s">
        <v>137</v>
      </c>
      <c r="D12" s="16" t="s">
        <v>137</v>
      </c>
      <c r="E12" s="16" t="s">
        <v>140</v>
      </c>
      <c r="F12" s="14">
        <v>46203.5</v>
      </c>
      <c r="G12" s="16" t="s">
        <v>158</v>
      </c>
      <c r="H12" s="16" t="s">
        <v>160</v>
      </c>
      <c r="I12" s="15" t="s">
        <v>55</v>
      </c>
      <c r="J12" s="16" t="s">
        <v>163</v>
      </c>
    </row>
    <row r="13">
      <c r="A13" s="8" t="s">
        <v>167</v>
      </c>
      <c r="B13" s="8" t="s">
        <v>99</v>
      </c>
      <c r="C13" s="8" t="s">
        <v>171</v>
      </c>
      <c r="D13" s="8" t="s">
        <v>172</v>
      </c>
      <c r="E13" s="8" t="s">
        <v>174</v>
      </c>
      <c r="F13" s="10">
        <v>46225.5</v>
      </c>
      <c r="G13" s="8" t="s">
        <v>177</v>
      </c>
      <c r="H13" s="8" t="s">
        <v>179</v>
      </c>
      <c r="I13" s="17" t="s">
        <v>103</v>
      </c>
      <c r="J13" s="8" t="s">
        <v>183</v>
      </c>
    </row>
    <row r="14">
      <c r="A14" s="16" t="s">
        <v>186</v>
      </c>
      <c r="B14" s="16" t="s">
        <v>74</v>
      </c>
      <c r="C14" s="16" t="s">
        <v>137</v>
      </c>
      <c r="D14" s="16" t="s">
        <v>137</v>
      </c>
      <c r="E14" s="16" t="s">
        <v>190</v>
      </c>
      <c r="F14" s="14">
        <v>46042.5</v>
      </c>
      <c r="G14" s="16" t="s">
        <v>192</v>
      </c>
      <c r="H14" s="16" t="s">
        <v>194</v>
      </c>
      <c r="I14" s="17" t="s">
        <v>103</v>
      </c>
      <c r="J14" s="16" t="s">
        <v>196</v>
      </c>
    </row>
    <row r="15">
      <c r="A15" s="8" t="s">
        <v>197</v>
      </c>
      <c r="B15" s="8" t="s">
        <v>74</v>
      </c>
      <c r="C15" s="8" t="s">
        <v>137</v>
      </c>
      <c r="D15" s="8" t="s">
        <v>137</v>
      </c>
      <c r="E15" s="8" t="s">
        <v>190</v>
      </c>
      <c r="F15" s="10">
        <v>46225.5</v>
      </c>
      <c r="G15" s="8" t="s">
        <v>202</v>
      </c>
      <c r="H15" s="8" t="s">
        <v>203</v>
      </c>
      <c r="I15" s="15" t="s">
        <v>55</v>
      </c>
      <c r="J15" s="8" t="s">
        <v>204</v>
      </c>
    </row>
    <row r="16">
      <c r="A16" s="16" t="s">
        <v>206</v>
      </c>
      <c r="B16" s="16" t="s">
        <v>74</v>
      </c>
      <c r="C16" s="16" t="s">
        <v>137</v>
      </c>
      <c r="D16" s="16" t="s">
        <v>137</v>
      </c>
      <c r="E16" s="16" t="s">
        <v>208</v>
      </c>
      <c r="F16" s="14">
        <v>46082.5</v>
      </c>
      <c r="G16" s="16" t="s">
        <v>210</v>
      </c>
      <c r="H16" s="16" t="s">
        <v>211</v>
      </c>
      <c r="I16" s="15" t="s">
        <v>55</v>
      </c>
      <c r="J16" s="16" t="s">
        <v>213</v>
      </c>
    </row>
    <row r="17">
      <c r="A17" s="8" t="s">
        <v>214</v>
      </c>
      <c r="B17" s="8" t="s">
        <v>82</v>
      </c>
      <c r="C17" s="8" t="s">
        <v>40</v>
      </c>
      <c r="D17" s="8" t="s">
        <v>216</v>
      </c>
      <c r="E17" s="8" t="s">
        <v>218</v>
      </c>
      <c r="F17" s="10">
        <v>46093.5</v>
      </c>
      <c r="G17" s="8" t="s">
        <v>219</v>
      </c>
      <c r="H17" s="8" t="s">
        <v>220</v>
      </c>
      <c r="I17" s="15" t="s">
        <v>55</v>
      </c>
      <c r="J17" s="8" t="s">
        <v>222</v>
      </c>
    </row>
    <row r="18">
      <c r="A18" s="16" t="s">
        <v>224</v>
      </c>
      <c r="B18" s="16" t="s">
        <v>82</v>
      </c>
      <c r="C18" s="16" t="s">
        <v>40</v>
      </c>
      <c r="D18" s="16" t="s">
        <v>225</v>
      </c>
      <c r="E18" s="16" t="s">
        <v>218</v>
      </c>
      <c r="F18" s="14">
        <v>46228.5</v>
      </c>
      <c r="G18" s="16" t="s">
        <v>227</v>
      </c>
      <c r="H18" s="16" t="s">
        <v>228</v>
      </c>
      <c r="I18" s="15" t="s">
        <v>55</v>
      </c>
      <c r="J18" s="16" t="s">
        <v>230</v>
      </c>
    </row>
    <row r="19">
      <c r="A19" s="8" t="s">
        <v>231</v>
      </c>
      <c r="B19" s="8" t="s">
        <v>82</v>
      </c>
      <c r="C19" s="8" t="s">
        <v>233</v>
      </c>
      <c r="D19" s="8" t="s">
        <v>234</v>
      </c>
      <c r="E19" s="8" t="s">
        <v>236</v>
      </c>
      <c r="F19" s="10">
        <v>46224.5</v>
      </c>
      <c r="G19" s="8" t="s">
        <v>237</v>
      </c>
      <c r="H19" s="8" t="s">
        <v>238</v>
      </c>
      <c r="I19" s="17" t="s">
        <v>103</v>
      </c>
      <c r="J19" s="8" t="s">
        <v>240</v>
      </c>
    </row>
    <row r="20">
      <c r="A20" s="16" t="s">
        <v>242</v>
      </c>
      <c r="B20" s="16" t="s">
        <v>82</v>
      </c>
      <c r="C20" s="16" t="s">
        <v>233</v>
      </c>
      <c r="D20" s="16" t="s">
        <v>234</v>
      </c>
      <c r="E20" s="16" t="s">
        <v>236</v>
      </c>
      <c r="F20" s="14">
        <v>46232.5</v>
      </c>
      <c r="G20" s="16" t="s">
        <v>243</v>
      </c>
      <c r="H20" s="16" t="s">
        <v>244</v>
      </c>
      <c r="I20" s="17" t="s">
        <v>103</v>
      </c>
      <c r="J20" s="16" t="s">
        <v>245</v>
      </c>
    </row>
    <row r="21" ht="15.75" customHeight="1">
      <c r="A21" s="8" t="s">
        <v>246</v>
      </c>
      <c r="B21" s="8" t="s">
        <v>153</v>
      </c>
      <c r="C21" s="8" t="s">
        <v>171</v>
      </c>
      <c r="D21" s="8" t="s">
        <v>172</v>
      </c>
      <c r="E21" s="8" t="s">
        <v>247</v>
      </c>
      <c r="F21" s="10">
        <v>46189.5</v>
      </c>
      <c r="G21" s="8" t="s">
        <v>248</v>
      </c>
      <c r="H21" s="8" t="s">
        <v>249</v>
      </c>
      <c r="I21" s="15" t="s">
        <v>250</v>
      </c>
      <c r="J21" s="8" t="s">
        <v>251</v>
      </c>
    </row>
    <row r="22" ht="15.75" customHeight="1">
      <c r="A22" s="16" t="s">
        <v>252</v>
      </c>
      <c r="B22" s="16" t="s">
        <v>153</v>
      </c>
      <c r="C22" s="16" t="s">
        <v>171</v>
      </c>
      <c r="D22" s="16" t="s">
        <v>172</v>
      </c>
      <c r="E22" s="16" t="s">
        <v>253</v>
      </c>
      <c r="F22" s="14">
        <v>46191.5</v>
      </c>
      <c r="G22" s="16" t="s">
        <v>254</v>
      </c>
      <c r="H22" s="16" t="s">
        <v>255</v>
      </c>
      <c r="I22" s="15" t="s">
        <v>250</v>
      </c>
      <c r="J22" s="16" t="s">
        <v>256</v>
      </c>
    </row>
    <row r="23" ht="15.75" customHeight="1">
      <c r="A23" s="8" t="s">
        <v>257</v>
      </c>
      <c r="B23" s="8" t="s">
        <v>166</v>
      </c>
      <c r="C23" s="8" t="s">
        <v>258</v>
      </c>
      <c r="D23" s="8" t="s">
        <v>258</v>
      </c>
      <c r="E23" s="8" t="s">
        <v>259</v>
      </c>
      <c r="F23" s="10">
        <v>46232.5</v>
      </c>
      <c r="G23" s="8" t="s">
        <v>260</v>
      </c>
      <c r="H23" s="8" t="s">
        <v>261</v>
      </c>
      <c r="I23" s="15" t="s">
        <v>250</v>
      </c>
      <c r="J23" s="8"/>
    </row>
    <row r="24" ht="15.75" customHeight="1">
      <c r="A24" s="16" t="s">
        <v>262</v>
      </c>
      <c r="B24" s="16" t="s">
        <v>90</v>
      </c>
      <c r="C24" s="16" t="s">
        <v>40</v>
      </c>
      <c r="D24" s="16" t="s">
        <v>263</v>
      </c>
      <c r="E24" s="16" t="s">
        <v>264</v>
      </c>
      <c r="F24" s="14">
        <v>45839.5</v>
      </c>
      <c r="G24" s="16" t="s">
        <v>265</v>
      </c>
      <c r="H24" s="16" t="s">
        <v>266</v>
      </c>
      <c r="I24" s="15" t="s">
        <v>55</v>
      </c>
      <c r="J24" s="16" t="s">
        <v>267</v>
      </c>
    </row>
    <row r="25" ht="15.75" customHeight="1">
      <c r="A25" s="8" t="s">
        <v>268</v>
      </c>
      <c r="B25" s="8" t="s">
        <v>90</v>
      </c>
      <c r="C25" s="8" t="s">
        <v>171</v>
      </c>
      <c r="D25" s="8" t="s">
        <v>172</v>
      </c>
      <c r="E25" s="8" t="s">
        <v>269</v>
      </c>
      <c r="F25" s="10">
        <v>45849.5</v>
      </c>
      <c r="G25" s="8" t="s">
        <v>271</v>
      </c>
      <c r="H25" s="8" t="s">
        <v>272</v>
      </c>
      <c r="I25" s="17" t="s">
        <v>103</v>
      </c>
      <c r="J25" s="8" t="s">
        <v>274</v>
      </c>
    </row>
    <row r="26" ht="15.75" customHeight="1">
      <c r="A26" s="16" t="s">
        <v>276</v>
      </c>
      <c r="B26" s="16" t="s">
        <v>90</v>
      </c>
      <c r="C26" s="16" t="s">
        <v>277</v>
      </c>
      <c r="D26" s="16" t="s">
        <v>278</v>
      </c>
      <c r="E26" s="16" t="s">
        <v>279</v>
      </c>
      <c r="F26" s="14">
        <v>46131.5</v>
      </c>
      <c r="G26" s="16" t="s">
        <v>282</v>
      </c>
      <c r="H26" s="16" t="s">
        <v>284</v>
      </c>
      <c r="I26" s="17" t="s">
        <v>103</v>
      </c>
      <c r="J26" s="16" t="s">
        <v>286</v>
      </c>
    </row>
    <row r="27" ht="15.75" customHeight="1">
      <c r="A27" s="8" t="s">
        <v>288</v>
      </c>
      <c r="B27" s="8" t="s">
        <v>90</v>
      </c>
      <c r="C27" s="8" t="s">
        <v>171</v>
      </c>
      <c r="D27" s="8" t="s">
        <v>172</v>
      </c>
      <c r="E27" s="8" t="s">
        <v>247</v>
      </c>
      <c r="F27" s="10">
        <v>46189.5</v>
      </c>
      <c r="G27" s="8" t="s">
        <v>292</v>
      </c>
      <c r="H27" s="8" t="s">
        <v>295</v>
      </c>
      <c r="I27" s="15" t="s">
        <v>250</v>
      </c>
      <c r="J27" s="8" t="s">
        <v>251</v>
      </c>
    </row>
    <row r="28">
      <c r="A28" s="30" t="s">
        <v>298</v>
      </c>
      <c r="B28" s="30" t="s">
        <v>90</v>
      </c>
      <c r="C28" s="30" t="s">
        <v>301</v>
      </c>
      <c r="D28" s="30" t="s">
        <v>303</v>
      </c>
      <c r="E28" s="30" t="s">
        <v>304</v>
      </c>
      <c r="F28" s="30" t="s">
        <v>305</v>
      </c>
      <c r="G28" s="30" t="s">
        <v>307</v>
      </c>
      <c r="H28" s="30" t="s">
        <v>309</v>
      </c>
      <c r="I28" s="31" t="s">
        <v>55</v>
      </c>
      <c r="J28" s="32" t="s">
        <v>311</v>
      </c>
    </row>
    <row r="29">
      <c r="A29" s="30" t="s">
        <v>316</v>
      </c>
      <c r="B29" s="30" t="s">
        <v>90</v>
      </c>
      <c r="C29" s="30" t="s">
        <v>301</v>
      </c>
      <c r="D29" s="30" t="s">
        <v>303</v>
      </c>
      <c r="E29" s="30" t="s">
        <v>319</v>
      </c>
      <c r="F29" s="30" t="s">
        <v>320</v>
      </c>
      <c r="G29" s="30" t="s">
        <v>321</v>
      </c>
      <c r="H29" s="30" t="s">
        <v>322</v>
      </c>
      <c r="I29" s="31" t="s">
        <v>55</v>
      </c>
      <c r="J29" s="32" t="s">
        <v>325</v>
      </c>
    </row>
    <row r="30">
      <c r="A30" s="30" t="s">
        <v>328</v>
      </c>
      <c r="B30" s="30" t="s">
        <v>90</v>
      </c>
      <c r="C30" s="30" t="s">
        <v>301</v>
      </c>
      <c r="D30" s="30" t="s">
        <v>303</v>
      </c>
      <c r="E30" s="30" t="s">
        <v>332</v>
      </c>
      <c r="F30" s="30" t="s">
        <v>333</v>
      </c>
      <c r="G30" s="30" t="s">
        <v>335</v>
      </c>
      <c r="H30" s="30" t="s">
        <v>336</v>
      </c>
      <c r="I30" s="31" t="s">
        <v>55</v>
      </c>
      <c r="J30" s="32" t="s">
        <v>338</v>
      </c>
    </row>
    <row r="31">
      <c r="A31" s="30" t="s">
        <v>342</v>
      </c>
      <c r="B31" s="30" t="s">
        <v>90</v>
      </c>
      <c r="C31" s="30" t="s">
        <v>301</v>
      </c>
      <c r="D31" s="30" t="s">
        <v>303</v>
      </c>
      <c r="E31" s="30" t="s">
        <v>345</v>
      </c>
      <c r="F31" s="30" t="s">
        <v>305</v>
      </c>
      <c r="G31" s="30" t="s">
        <v>347</v>
      </c>
      <c r="H31" s="30" t="s">
        <v>348</v>
      </c>
      <c r="I31" s="31" t="s">
        <v>55</v>
      </c>
      <c r="J31" s="32" t="s">
        <v>352</v>
      </c>
    </row>
    <row r="32">
      <c r="A32" s="30" t="s">
        <v>356</v>
      </c>
      <c r="B32" s="30" t="s">
        <v>90</v>
      </c>
      <c r="C32" s="30" t="s">
        <v>358</v>
      </c>
      <c r="D32" s="30" t="s">
        <v>359</v>
      </c>
      <c r="E32" s="30" t="s">
        <v>360</v>
      </c>
      <c r="F32" s="30" t="s">
        <v>305</v>
      </c>
      <c r="G32" s="30" t="s">
        <v>363</v>
      </c>
      <c r="H32" s="30" t="s">
        <v>364</v>
      </c>
      <c r="I32" s="31" t="s">
        <v>55</v>
      </c>
      <c r="J32" s="32" t="s">
        <v>366</v>
      </c>
    </row>
    <row r="33">
      <c r="A33" s="30" t="s">
        <v>373</v>
      </c>
      <c r="B33" s="30" t="s">
        <v>90</v>
      </c>
      <c r="C33" s="30" t="s">
        <v>375</v>
      </c>
      <c r="D33" s="30" t="s">
        <v>377</v>
      </c>
      <c r="E33" s="30" t="s">
        <v>379</v>
      </c>
      <c r="F33" s="30" t="s">
        <v>381</v>
      </c>
      <c r="G33" s="30" t="s">
        <v>382</v>
      </c>
      <c r="H33" s="30" t="s">
        <v>384</v>
      </c>
      <c r="I33" s="31" t="s">
        <v>103</v>
      </c>
      <c r="J33" s="32" t="s">
        <v>386</v>
      </c>
    </row>
    <row r="34">
      <c r="A34" s="30" t="s">
        <v>390</v>
      </c>
      <c r="B34" s="30" t="s">
        <v>90</v>
      </c>
      <c r="C34" s="30" t="s">
        <v>375</v>
      </c>
      <c r="D34" s="30" t="s">
        <v>394</v>
      </c>
      <c r="E34" s="30" t="s">
        <v>395</v>
      </c>
      <c r="F34" s="30" t="s">
        <v>396</v>
      </c>
      <c r="G34" s="30" t="s">
        <v>397</v>
      </c>
      <c r="H34" s="30" t="s">
        <v>398</v>
      </c>
      <c r="I34" s="31" t="s">
        <v>103</v>
      </c>
      <c r="J34" s="32" t="s">
        <v>400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conditionalFormatting sqref="H2:H19">
    <cfRule type="expression" dxfId="5" priority="1">
      <formula>H2="Yes"</formula>
    </cfRule>
  </conditionalFormatting>
  <conditionalFormatting sqref="H2:H19">
    <cfRule type="expression" dxfId="7" priority="2">
      <formula>H2="Conditional"</formula>
    </cfRule>
  </conditionalFormatting>
  <conditionalFormatting sqref="H2:H19">
    <cfRule type="expression" dxfId="8" priority="3">
      <formula>H2="No"</formula>
    </cfRule>
  </conditionalFormatting>
  <hyperlinks>
    <hyperlink r:id="rId1" ref="J28"/>
    <hyperlink r:id="rId2" ref="J29"/>
    <hyperlink r:id="rId3" ref="J30"/>
    <hyperlink r:id="rId4" ref="J31"/>
    <hyperlink r:id="rId5" ref="J32"/>
    <hyperlink r:id="rId6" ref="J33"/>
    <hyperlink r:id="rId7" location="page=111" ref="J34"/>
  </hyperlinks>
  <printOptions/>
  <pageMargins bottom="0.75" footer="0.0" header="0.0" left="0.7" right="0.7" top="0.75"/>
  <pageSetup orientation="landscape"/>
  <drawing r:id="rId8"/>
  <tableParts count="1"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3.0"/>
    <col customWidth="1" min="2" max="2" width="11.0"/>
    <col customWidth="1" min="3" max="3" width="10.0"/>
    <col customWidth="1" min="4" max="4" width="27.0"/>
    <col customWidth="1" min="5" max="5" width="80.0"/>
    <col customWidth="1" min="6" max="26" width="8.63"/>
  </cols>
  <sheetData>
    <row r="1" ht="33.75" customHeight="1">
      <c r="A1" s="1" t="s">
        <v>15</v>
      </c>
    </row>
    <row r="2" ht="24.0" customHeight="1">
      <c r="A2" s="2" t="s">
        <v>22</v>
      </c>
    </row>
    <row r="4" ht="31.5" customHeight="1">
      <c r="A4" s="5" t="s">
        <v>18</v>
      </c>
      <c r="B4" s="5" t="s">
        <v>31</v>
      </c>
      <c r="C4" s="5" t="s">
        <v>8</v>
      </c>
      <c r="D4" s="5" t="s">
        <v>34</v>
      </c>
      <c r="E4" s="5" t="s">
        <v>36</v>
      </c>
    </row>
    <row r="5">
      <c r="A5" s="10">
        <v>46232.5</v>
      </c>
      <c r="B5" s="8" t="s">
        <v>46</v>
      </c>
      <c r="C5" s="8" t="s">
        <v>47</v>
      </c>
      <c r="D5" s="8" t="s">
        <v>51</v>
      </c>
      <c r="E5" s="8" t="s">
        <v>53</v>
      </c>
    </row>
    <row r="6">
      <c r="A6" s="14">
        <v>46232.5</v>
      </c>
      <c r="B6" s="16" t="s">
        <v>46</v>
      </c>
      <c r="C6" s="16" t="s">
        <v>57</v>
      </c>
      <c r="D6" s="16" t="s">
        <v>60</v>
      </c>
      <c r="E6" s="16" t="s">
        <v>61</v>
      </c>
    </row>
    <row r="7">
      <c r="A7" s="10">
        <v>46232.5</v>
      </c>
      <c r="B7" s="8" t="s">
        <v>46</v>
      </c>
      <c r="C7" s="8" t="s">
        <v>57</v>
      </c>
      <c r="D7" s="8" t="s">
        <v>69</v>
      </c>
      <c r="E7" s="8" t="s">
        <v>71</v>
      </c>
    </row>
    <row r="8">
      <c r="A8" s="14">
        <v>46232.5</v>
      </c>
      <c r="B8" s="16" t="s">
        <v>46</v>
      </c>
      <c r="C8" s="16" t="s">
        <v>74</v>
      </c>
      <c r="D8" s="16" t="s">
        <v>76</v>
      </c>
      <c r="E8" s="16" t="s">
        <v>78</v>
      </c>
    </row>
    <row r="9">
      <c r="A9" s="10">
        <v>46232.5</v>
      </c>
      <c r="B9" s="8" t="s">
        <v>46</v>
      </c>
      <c r="C9" s="8" t="s">
        <v>82</v>
      </c>
      <c r="D9" s="8" t="s">
        <v>85</v>
      </c>
      <c r="E9" s="8" t="s">
        <v>87</v>
      </c>
    </row>
    <row r="10">
      <c r="A10" s="14">
        <v>46232.5</v>
      </c>
      <c r="B10" s="16" t="s">
        <v>46</v>
      </c>
      <c r="C10" s="16" t="s">
        <v>90</v>
      </c>
      <c r="D10" s="16" t="s">
        <v>93</v>
      </c>
      <c r="E10" s="16" t="s">
        <v>95</v>
      </c>
    </row>
    <row r="11">
      <c r="A11" s="10">
        <v>46232.5</v>
      </c>
      <c r="B11" s="8" t="s">
        <v>46</v>
      </c>
      <c r="C11" s="8" t="s">
        <v>102</v>
      </c>
      <c r="D11" s="8" t="s">
        <v>105</v>
      </c>
      <c r="E11" s="8" t="s">
        <v>107</v>
      </c>
    </row>
    <row r="12">
      <c r="A12" s="14">
        <v>46228.5</v>
      </c>
      <c r="B12" s="16" t="s">
        <v>110</v>
      </c>
      <c r="C12" s="16" t="s">
        <v>33</v>
      </c>
      <c r="D12" s="16" t="s">
        <v>113</v>
      </c>
      <c r="E12" s="16" t="s">
        <v>114</v>
      </c>
    </row>
    <row r="13">
      <c r="A13" s="10">
        <v>46228.5</v>
      </c>
      <c r="B13" s="8" t="s">
        <v>110</v>
      </c>
      <c r="C13" s="8" t="s">
        <v>59</v>
      </c>
      <c r="D13" s="8" t="s">
        <v>123</v>
      </c>
      <c r="E13" s="8" t="s">
        <v>124</v>
      </c>
    </row>
    <row r="14">
      <c r="A14" s="14">
        <v>46228.5</v>
      </c>
      <c r="B14" s="16" t="s">
        <v>110</v>
      </c>
      <c r="C14" s="16" t="s">
        <v>99</v>
      </c>
      <c r="D14" s="16" t="s">
        <v>131</v>
      </c>
      <c r="E14" s="16" t="s">
        <v>133</v>
      </c>
    </row>
    <row r="15">
      <c r="A15" s="10">
        <v>46228.5</v>
      </c>
      <c r="B15" s="8" t="s">
        <v>110</v>
      </c>
      <c r="C15" s="8" t="s">
        <v>74</v>
      </c>
      <c r="D15" s="8" t="s">
        <v>139</v>
      </c>
      <c r="E15" s="8" t="s">
        <v>141</v>
      </c>
    </row>
    <row r="16">
      <c r="A16" s="14">
        <v>46228.5</v>
      </c>
      <c r="B16" s="16" t="s">
        <v>110</v>
      </c>
      <c r="C16" s="16" t="s">
        <v>82</v>
      </c>
      <c r="D16" s="16" t="s">
        <v>149</v>
      </c>
      <c r="E16" s="16" t="s">
        <v>154</v>
      </c>
    </row>
    <row r="17">
      <c r="A17" s="10">
        <v>46228.5</v>
      </c>
      <c r="B17" s="8" t="s">
        <v>110</v>
      </c>
      <c r="C17" s="8" t="s">
        <v>153</v>
      </c>
      <c r="D17" s="8" t="s">
        <v>157</v>
      </c>
      <c r="E17" s="8" t="s">
        <v>159</v>
      </c>
    </row>
    <row r="18">
      <c r="A18" s="14">
        <v>46228.5</v>
      </c>
      <c r="B18" s="16" t="s">
        <v>110</v>
      </c>
      <c r="C18" s="16" t="s">
        <v>166</v>
      </c>
      <c r="D18" s="16" t="s">
        <v>169</v>
      </c>
      <c r="E18" s="16" t="s">
        <v>170</v>
      </c>
    </row>
    <row r="19">
      <c r="A19" s="20">
        <v>46310.0</v>
      </c>
      <c r="B19" s="21" t="s">
        <v>178</v>
      </c>
      <c r="C19" s="21" t="s">
        <v>90</v>
      </c>
      <c r="D19" s="21" t="s">
        <v>182</v>
      </c>
      <c r="E19" s="21" t="s">
        <v>184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E1"/>
    <mergeCell ref="A2:E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11.0"/>
    <col customWidth="1" min="2" max="2" width="7.0"/>
    <col customWidth="1" min="3" max="3" width="58.0"/>
    <col customWidth="1" min="4" max="4" width="23.0"/>
    <col customWidth="1" min="5" max="5" width="20.0"/>
    <col customWidth="1" min="6" max="6" width="24.0"/>
    <col customWidth="1" min="7" max="8" width="48.0"/>
    <col customWidth="1" min="9" max="9" width="23.0"/>
    <col customWidth="1" min="10" max="10" width="14.0"/>
    <col customWidth="1" min="11" max="11" width="13.0"/>
    <col customWidth="1" min="12" max="12" width="34.0"/>
    <col customWidth="1" min="13" max="26" width="8.63"/>
  </cols>
  <sheetData>
    <row r="1" ht="33.75" customHeight="1">
      <c r="A1" s="1" t="s">
        <v>270</v>
      </c>
    </row>
    <row r="2" ht="24.0" customHeight="1">
      <c r="A2" s="2" t="s">
        <v>273</v>
      </c>
    </row>
    <row r="4" ht="31.5" customHeight="1">
      <c r="A4" s="5" t="s">
        <v>275</v>
      </c>
      <c r="B4" s="5" t="s">
        <v>8</v>
      </c>
      <c r="C4" s="5" t="s">
        <v>280</v>
      </c>
      <c r="D4" s="5" t="s">
        <v>281</v>
      </c>
      <c r="E4" s="5" t="s">
        <v>283</v>
      </c>
      <c r="F4" s="5" t="s">
        <v>14</v>
      </c>
      <c r="G4" s="5" t="s">
        <v>285</v>
      </c>
      <c r="H4" s="5" t="s">
        <v>287</v>
      </c>
      <c r="I4" s="5" t="s">
        <v>24</v>
      </c>
      <c r="J4" s="5" t="s">
        <v>23</v>
      </c>
      <c r="K4" s="5" t="s">
        <v>289</v>
      </c>
      <c r="L4" s="5" t="s">
        <v>290</v>
      </c>
    </row>
    <row r="5">
      <c r="A5" s="8" t="s">
        <v>291</v>
      </c>
      <c r="B5" s="8" t="s">
        <v>47</v>
      </c>
      <c r="C5" s="8" t="s">
        <v>293</v>
      </c>
      <c r="D5" s="8" t="s">
        <v>294</v>
      </c>
      <c r="E5" s="8" t="s">
        <v>296</v>
      </c>
      <c r="F5" s="8" t="s">
        <v>297</v>
      </c>
      <c r="G5" s="8" t="s">
        <v>299</v>
      </c>
      <c r="H5" s="8" t="s">
        <v>300</v>
      </c>
      <c r="I5" s="15" t="s">
        <v>302</v>
      </c>
      <c r="J5" s="8" t="s">
        <v>121</v>
      </c>
      <c r="K5" s="10">
        <v>46324.5</v>
      </c>
      <c r="L5" s="8" t="s">
        <v>306</v>
      </c>
    </row>
    <row r="6">
      <c r="A6" s="16" t="s">
        <v>308</v>
      </c>
      <c r="B6" s="16" t="s">
        <v>47</v>
      </c>
      <c r="C6" s="16" t="s">
        <v>310</v>
      </c>
      <c r="D6" s="16" t="s">
        <v>235</v>
      </c>
      <c r="E6" s="16" t="s">
        <v>257</v>
      </c>
      <c r="F6" s="16" t="s">
        <v>258</v>
      </c>
      <c r="G6" s="16" t="s">
        <v>312</v>
      </c>
      <c r="H6" s="16" t="s">
        <v>313</v>
      </c>
      <c r="I6" s="15" t="s">
        <v>314</v>
      </c>
      <c r="J6" s="16" t="s">
        <v>45</v>
      </c>
      <c r="K6" s="14">
        <v>46324.5</v>
      </c>
      <c r="L6" s="16" t="s">
        <v>315</v>
      </c>
    </row>
    <row r="7">
      <c r="A7" s="8" t="s">
        <v>317</v>
      </c>
      <c r="B7" s="8" t="s">
        <v>47</v>
      </c>
      <c r="C7" s="8" t="s">
        <v>318</v>
      </c>
      <c r="D7" s="8" t="s">
        <v>235</v>
      </c>
      <c r="E7" s="8" t="s">
        <v>257</v>
      </c>
      <c r="F7" s="8" t="s">
        <v>258</v>
      </c>
      <c r="G7" s="8" t="s">
        <v>323</v>
      </c>
      <c r="H7" s="8" t="s">
        <v>324</v>
      </c>
      <c r="I7" s="15" t="s">
        <v>314</v>
      </c>
      <c r="J7" s="8" t="s">
        <v>45</v>
      </c>
      <c r="K7" s="10">
        <v>46324.5</v>
      </c>
      <c r="L7" s="8" t="s">
        <v>326</v>
      </c>
    </row>
    <row r="8">
      <c r="A8" s="16" t="s">
        <v>327</v>
      </c>
      <c r="B8" s="16" t="s">
        <v>47</v>
      </c>
      <c r="C8" s="16" t="s">
        <v>329</v>
      </c>
      <c r="D8" s="16" t="s">
        <v>235</v>
      </c>
      <c r="E8" s="16" t="s">
        <v>257</v>
      </c>
      <c r="F8" s="16" t="s">
        <v>258</v>
      </c>
      <c r="G8" s="16" t="s">
        <v>330</v>
      </c>
      <c r="H8" s="16" t="s">
        <v>331</v>
      </c>
      <c r="I8" s="15" t="s">
        <v>314</v>
      </c>
      <c r="J8" s="16" t="s">
        <v>45</v>
      </c>
      <c r="K8" s="14">
        <v>46324.5</v>
      </c>
      <c r="L8" s="16" t="s">
        <v>334</v>
      </c>
    </row>
    <row r="9">
      <c r="A9" s="8" t="s">
        <v>337</v>
      </c>
      <c r="B9" s="8" t="s">
        <v>47</v>
      </c>
      <c r="C9" s="8" t="s">
        <v>339</v>
      </c>
      <c r="D9" s="8" t="s">
        <v>235</v>
      </c>
      <c r="E9" s="8" t="s">
        <v>257</v>
      </c>
      <c r="F9" s="8" t="s">
        <v>258</v>
      </c>
      <c r="G9" s="8" t="s">
        <v>340</v>
      </c>
      <c r="H9" s="8" t="s">
        <v>341</v>
      </c>
      <c r="I9" s="15" t="s">
        <v>314</v>
      </c>
      <c r="J9" s="8" t="s">
        <v>45</v>
      </c>
      <c r="K9" s="10">
        <v>46324.5</v>
      </c>
      <c r="L9" s="8" t="s">
        <v>343</v>
      </c>
    </row>
    <row r="10">
      <c r="A10" s="16" t="s">
        <v>344</v>
      </c>
      <c r="B10" s="16" t="s">
        <v>102</v>
      </c>
      <c r="C10" s="16" t="s">
        <v>346</v>
      </c>
      <c r="D10" s="16" t="s">
        <v>294</v>
      </c>
      <c r="E10" s="16" t="s">
        <v>349</v>
      </c>
      <c r="F10" s="16" t="s">
        <v>350</v>
      </c>
      <c r="G10" s="16" t="s">
        <v>351</v>
      </c>
      <c r="H10" s="16" t="s">
        <v>353</v>
      </c>
      <c r="I10" s="17" t="s">
        <v>350</v>
      </c>
      <c r="J10" s="16" t="s">
        <v>84</v>
      </c>
      <c r="K10" s="14">
        <v>46294.5</v>
      </c>
      <c r="L10" s="16" t="s">
        <v>354</v>
      </c>
    </row>
    <row r="11">
      <c r="A11" s="8" t="s">
        <v>355</v>
      </c>
      <c r="B11" s="8" t="s">
        <v>102</v>
      </c>
      <c r="C11" s="8" t="s">
        <v>357</v>
      </c>
      <c r="D11" s="8" t="s">
        <v>294</v>
      </c>
      <c r="E11" s="8" t="s">
        <v>349</v>
      </c>
      <c r="F11" s="8" t="s">
        <v>350</v>
      </c>
      <c r="G11" s="8" t="s">
        <v>361</v>
      </c>
      <c r="H11" s="8" t="s">
        <v>362</v>
      </c>
      <c r="I11" s="15" t="s">
        <v>302</v>
      </c>
      <c r="J11" s="8" t="s">
        <v>121</v>
      </c>
      <c r="K11" s="10">
        <v>46324.5</v>
      </c>
      <c r="L11" s="8" t="s">
        <v>354</v>
      </c>
    </row>
    <row r="12">
      <c r="A12" s="16" t="s">
        <v>365</v>
      </c>
      <c r="B12" s="16" t="s">
        <v>102</v>
      </c>
      <c r="C12" s="16" t="s">
        <v>367</v>
      </c>
      <c r="D12" s="16" t="s">
        <v>368</v>
      </c>
      <c r="E12" s="16" t="s">
        <v>369</v>
      </c>
      <c r="F12" s="16" t="s">
        <v>258</v>
      </c>
      <c r="G12" s="16" t="s">
        <v>370</v>
      </c>
      <c r="H12" s="16" t="s">
        <v>371</v>
      </c>
      <c r="I12" s="15" t="s">
        <v>372</v>
      </c>
      <c r="J12" s="16" t="s">
        <v>84</v>
      </c>
      <c r="K12" s="14">
        <v>46355.5</v>
      </c>
      <c r="L12" s="16" t="s">
        <v>374</v>
      </c>
    </row>
    <row r="13">
      <c r="A13" s="8" t="s">
        <v>376</v>
      </c>
      <c r="B13" s="8" t="s">
        <v>33</v>
      </c>
      <c r="C13" s="8" t="s">
        <v>378</v>
      </c>
      <c r="D13" s="8" t="s">
        <v>380</v>
      </c>
      <c r="E13" s="8" t="s">
        <v>32</v>
      </c>
      <c r="F13" s="8" t="s">
        <v>42</v>
      </c>
      <c r="G13" s="8" t="s">
        <v>383</v>
      </c>
      <c r="H13" s="8" t="s">
        <v>385</v>
      </c>
      <c r="I13" s="15" t="s">
        <v>302</v>
      </c>
      <c r="J13" s="8" t="s">
        <v>45</v>
      </c>
      <c r="K13" s="10">
        <v>46251.5</v>
      </c>
      <c r="L13" s="8" t="s">
        <v>387</v>
      </c>
    </row>
    <row r="14">
      <c r="A14" s="16" t="s">
        <v>388</v>
      </c>
      <c r="B14" s="16" t="s">
        <v>33</v>
      </c>
      <c r="C14" s="16" t="s">
        <v>389</v>
      </c>
      <c r="D14" s="16" t="s">
        <v>380</v>
      </c>
      <c r="E14" s="16" t="s">
        <v>391</v>
      </c>
      <c r="F14" s="16" t="s">
        <v>66</v>
      </c>
      <c r="G14" s="16" t="s">
        <v>392</v>
      </c>
      <c r="H14" s="16" t="s">
        <v>393</v>
      </c>
      <c r="I14" s="15" t="s">
        <v>302</v>
      </c>
      <c r="J14" s="16" t="s">
        <v>45</v>
      </c>
      <c r="K14" s="14">
        <v>46324.5</v>
      </c>
      <c r="L14" s="16" t="s">
        <v>387</v>
      </c>
    </row>
    <row r="15">
      <c r="A15" s="8" t="s">
        <v>399</v>
      </c>
      <c r="B15" s="8" t="s">
        <v>59</v>
      </c>
      <c r="C15" s="8" t="s">
        <v>401</v>
      </c>
      <c r="D15" s="8" t="s">
        <v>380</v>
      </c>
      <c r="E15" s="8" t="s">
        <v>402</v>
      </c>
      <c r="F15" s="8" t="s">
        <v>403</v>
      </c>
      <c r="G15" s="8" t="s">
        <v>404</v>
      </c>
      <c r="H15" s="8" t="s">
        <v>405</v>
      </c>
      <c r="I15" s="15" t="s">
        <v>406</v>
      </c>
      <c r="J15" s="8" t="s">
        <v>84</v>
      </c>
      <c r="K15" s="10">
        <v>46296.5</v>
      </c>
      <c r="L15" s="8" t="s">
        <v>407</v>
      </c>
    </row>
    <row r="16">
      <c r="A16" s="16" t="s">
        <v>408</v>
      </c>
      <c r="B16" s="16" t="s">
        <v>99</v>
      </c>
      <c r="C16" s="16" t="s">
        <v>409</v>
      </c>
      <c r="D16" s="16" t="s">
        <v>410</v>
      </c>
      <c r="E16" s="16" t="s">
        <v>135</v>
      </c>
      <c r="F16" s="16" t="s">
        <v>137</v>
      </c>
      <c r="G16" s="16" t="s">
        <v>411</v>
      </c>
      <c r="H16" s="16" t="s">
        <v>412</v>
      </c>
      <c r="I16" s="13" t="s">
        <v>413</v>
      </c>
      <c r="J16" s="16" t="s">
        <v>45</v>
      </c>
      <c r="K16" s="14">
        <v>46256.5</v>
      </c>
      <c r="L16" s="16" t="s">
        <v>414</v>
      </c>
    </row>
    <row r="17">
      <c r="A17" s="8" t="s">
        <v>415</v>
      </c>
      <c r="B17" s="8" t="s">
        <v>99</v>
      </c>
      <c r="C17" s="8" t="s">
        <v>416</v>
      </c>
      <c r="D17" s="8" t="s">
        <v>410</v>
      </c>
      <c r="E17" s="8" t="s">
        <v>150</v>
      </c>
      <c r="F17" s="8" t="s">
        <v>137</v>
      </c>
      <c r="G17" s="8" t="s">
        <v>417</v>
      </c>
      <c r="H17" s="8" t="s">
        <v>418</v>
      </c>
      <c r="I17" s="13" t="s">
        <v>419</v>
      </c>
      <c r="J17" s="8" t="s">
        <v>45</v>
      </c>
      <c r="K17" s="10">
        <v>46256.5</v>
      </c>
      <c r="L17" s="8" t="s">
        <v>414</v>
      </c>
    </row>
    <row r="18">
      <c r="A18" s="16" t="s">
        <v>420</v>
      </c>
      <c r="B18" s="16" t="s">
        <v>99</v>
      </c>
      <c r="C18" s="16" t="s">
        <v>421</v>
      </c>
      <c r="D18" s="16" t="s">
        <v>350</v>
      </c>
      <c r="E18" s="16" t="s">
        <v>422</v>
      </c>
      <c r="F18" s="16" t="s">
        <v>423</v>
      </c>
      <c r="G18" s="16" t="s">
        <v>424</v>
      </c>
      <c r="H18" s="16" t="s">
        <v>425</v>
      </c>
      <c r="I18" s="17" t="s">
        <v>426</v>
      </c>
      <c r="J18" s="16" t="s">
        <v>45</v>
      </c>
      <c r="K18" s="14">
        <v>46256.5</v>
      </c>
      <c r="L18" s="16" t="s">
        <v>414</v>
      </c>
    </row>
    <row r="19">
      <c r="A19" s="8" t="s">
        <v>427</v>
      </c>
      <c r="B19" s="8" t="s">
        <v>74</v>
      </c>
      <c r="C19" s="8" t="s">
        <v>428</v>
      </c>
      <c r="D19" s="8" t="s">
        <v>410</v>
      </c>
      <c r="E19" s="8" t="s">
        <v>197</v>
      </c>
      <c r="F19" s="8" t="s">
        <v>137</v>
      </c>
      <c r="G19" s="8" t="s">
        <v>429</v>
      </c>
      <c r="H19" s="8" t="s">
        <v>430</v>
      </c>
      <c r="I19" s="17" t="s">
        <v>103</v>
      </c>
      <c r="J19" s="8" t="s">
        <v>121</v>
      </c>
      <c r="K19" s="10">
        <v>46266.5</v>
      </c>
      <c r="L19" s="8" t="s">
        <v>431</v>
      </c>
    </row>
    <row r="20">
      <c r="A20" s="16" t="s">
        <v>432</v>
      </c>
      <c r="B20" s="16" t="s">
        <v>74</v>
      </c>
      <c r="C20" s="16" t="s">
        <v>433</v>
      </c>
      <c r="D20" s="16" t="s">
        <v>434</v>
      </c>
      <c r="E20" s="16" t="s">
        <v>186</v>
      </c>
      <c r="F20" s="16" t="s">
        <v>137</v>
      </c>
      <c r="G20" s="16" t="s">
        <v>435</v>
      </c>
      <c r="H20" s="16" t="s">
        <v>436</v>
      </c>
      <c r="I20" s="17" t="s">
        <v>103</v>
      </c>
      <c r="J20" s="16" t="s">
        <v>84</v>
      </c>
      <c r="K20" s="14">
        <v>46266.5</v>
      </c>
      <c r="L20" s="16" t="s">
        <v>431</v>
      </c>
    </row>
    <row r="21" ht="15.75" customHeight="1">
      <c r="A21" s="8" t="s">
        <v>437</v>
      </c>
      <c r="B21" s="8" t="s">
        <v>74</v>
      </c>
      <c r="C21" s="8" t="s">
        <v>438</v>
      </c>
      <c r="D21" s="8" t="s">
        <v>380</v>
      </c>
      <c r="E21" s="8" t="s">
        <v>206</v>
      </c>
      <c r="F21" s="8" t="s">
        <v>137</v>
      </c>
      <c r="G21" s="8" t="s">
        <v>439</v>
      </c>
      <c r="H21" s="8" t="s">
        <v>440</v>
      </c>
      <c r="I21" s="15" t="s">
        <v>441</v>
      </c>
      <c r="J21" s="8" t="s">
        <v>45</v>
      </c>
      <c r="K21" s="10">
        <v>46266.5</v>
      </c>
      <c r="L21" s="8" t="s">
        <v>431</v>
      </c>
    </row>
    <row r="22" ht="15.75" customHeight="1">
      <c r="A22" s="16" t="s">
        <v>442</v>
      </c>
      <c r="B22" s="16" t="s">
        <v>82</v>
      </c>
      <c r="C22" s="16" t="s">
        <v>443</v>
      </c>
      <c r="D22" s="16" t="s">
        <v>380</v>
      </c>
      <c r="E22" s="16" t="s">
        <v>444</v>
      </c>
      <c r="F22" s="16" t="s">
        <v>216</v>
      </c>
      <c r="G22" s="16" t="s">
        <v>445</v>
      </c>
      <c r="H22" s="16" t="s">
        <v>446</v>
      </c>
      <c r="I22" s="18" t="s">
        <v>138</v>
      </c>
      <c r="J22" s="16" t="s">
        <v>45</v>
      </c>
      <c r="K22" s="14">
        <v>46239.5</v>
      </c>
      <c r="L22" s="16" t="s">
        <v>447</v>
      </c>
    </row>
    <row r="23" ht="15.75" customHeight="1">
      <c r="A23" s="8" t="s">
        <v>448</v>
      </c>
      <c r="B23" s="8" t="s">
        <v>82</v>
      </c>
      <c r="C23" s="8" t="s">
        <v>449</v>
      </c>
      <c r="D23" s="8" t="s">
        <v>450</v>
      </c>
      <c r="E23" s="8" t="s">
        <v>242</v>
      </c>
      <c r="F23" s="8" t="s">
        <v>234</v>
      </c>
      <c r="G23" s="8" t="s">
        <v>451</v>
      </c>
      <c r="H23" s="8" t="s">
        <v>452</v>
      </c>
      <c r="I23" s="18" t="s">
        <v>453</v>
      </c>
      <c r="J23" s="8" t="s">
        <v>121</v>
      </c>
      <c r="K23" s="10">
        <v>46239.5</v>
      </c>
      <c r="L23" s="8" t="s">
        <v>447</v>
      </c>
    </row>
    <row r="24" ht="15.75" customHeight="1">
      <c r="A24" s="16" t="s">
        <v>454</v>
      </c>
      <c r="B24" s="16" t="s">
        <v>153</v>
      </c>
      <c r="C24" s="16" t="s">
        <v>455</v>
      </c>
      <c r="D24" s="16" t="s">
        <v>456</v>
      </c>
      <c r="E24" s="16" t="s">
        <v>457</v>
      </c>
      <c r="F24" s="16" t="s">
        <v>172</v>
      </c>
      <c r="G24" s="16" t="s">
        <v>458</v>
      </c>
      <c r="H24" s="16" t="s">
        <v>459</v>
      </c>
      <c r="I24" s="15" t="s">
        <v>460</v>
      </c>
      <c r="J24" s="16" t="s">
        <v>84</v>
      </c>
      <c r="K24" s="14">
        <v>46250.5</v>
      </c>
      <c r="L24" s="16" t="s">
        <v>461</v>
      </c>
    </row>
    <row r="25" ht="15.75" customHeight="1">
      <c r="A25" s="8" t="s">
        <v>462</v>
      </c>
      <c r="B25" s="8" t="s">
        <v>153</v>
      </c>
      <c r="C25" s="8" t="s">
        <v>463</v>
      </c>
      <c r="D25" s="8" t="s">
        <v>464</v>
      </c>
      <c r="E25" s="8" t="s">
        <v>465</v>
      </c>
      <c r="F25" s="8" t="s">
        <v>172</v>
      </c>
      <c r="G25" s="8" t="s">
        <v>466</v>
      </c>
      <c r="H25" s="8" t="s">
        <v>467</v>
      </c>
      <c r="I25" s="15" t="s">
        <v>468</v>
      </c>
      <c r="J25" s="8" t="s">
        <v>45</v>
      </c>
      <c r="K25" s="10">
        <v>46250.5</v>
      </c>
      <c r="L25" s="8" t="s">
        <v>469</v>
      </c>
    </row>
    <row r="26" ht="15.75" customHeight="1">
      <c r="A26" s="16" t="s">
        <v>470</v>
      </c>
      <c r="B26" s="16" t="s">
        <v>90</v>
      </c>
      <c r="C26" s="16" t="s">
        <v>471</v>
      </c>
      <c r="D26" s="16" t="s">
        <v>380</v>
      </c>
      <c r="E26" s="16" t="s">
        <v>262</v>
      </c>
      <c r="F26" s="16" t="s">
        <v>263</v>
      </c>
      <c r="G26" s="16" t="s">
        <v>472</v>
      </c>
      <c r="H26" s="16" t="s">
        <v>473</v>
      </c>
      <c r="I26" s="15" t="s">
        <v>302</v>
      </c>
      <c r="J26" s="16" t="s">
        <v>45</v>
      </c>
      <c r="K26" s="14">
        <v>46324.5</v>
      </c>
      <c r="L26" s="16" t="s">
        <v>474</v>
      </c>
    </row>
    <row r="27" ht="15.75" customHeight="1">
      <c r="A27" s="8" t="s">
        <v>475</v>
      </c>
      <c r="B27" s="8" t="s">
        <v>90</v>
      </c>
      <c r="C27" s="8" t="s">
        <v>476</v>
      </c>
      <c r="D27" s="8" t="s">
        <v>456</v>
      </c>
      <c r="E27" s="8" t="s">
        <v>268</v>
      </c>
      <c r="F27" s="8" t="s">
        <v>172</v>
      </c>
      <c r="G27" s="8" t="s">
        <v>477</v>
      </c>
      <c r="H27" s="8" t="s">
        <v>478</v>
      </c>
      <c r="I27" s="17" t="s">
        <v>350</v>
      </c>
      <c r="J27" s="8" t="s">
        <v>84</v>
      </c>
      <c r="K27" s="10">
        <v>46263.5</v>
      </c>
      <c r="L27" s="8" t="s">
        <v>479</v>
      </c>
    </row>
    <row r="28" ht="15.75" customHeight="1">
      <c r="A28" s="16" t="s">
        <v>480</v>
      </c>
      <c r="B28" s="16" t="s">
        <v>90</v>
      </c>
      <c r="C28" s="16" t="s">
        <v>481</v>
      </c>
      <c r="D28" s="16" t="s">
        <v>350</v>
      </c>
      <c r="E28" s="16" t="s">
        <v>276</v>
      </c>
      <c r="F28" s="16" t="s">
        <v>278</v>
      </c>
      <c r="G28" s="16" t="s">
        <v>482</v>
      </c>
      <c r="H28" s="16" t="s">
        <v>483</v>
      </c>
      <c r="I28" s="17" t="s">
        <v>350</v>
      </c>
      <c r="J28" s="16" t="s">
        <v>84</v>
      </c>
      <c r="K28" s="14">
        <v>46263.5</v>
      </c>
      <c r="L28" s="16" t="s">
        <v>484</v>
      </c>
    </row>
    <row r="29" ht="15.75" customHeight="1">
      <c r="A29" s="8" t="s">
        <v>485</v>
      </c>
      <c r="B29" s="8" t="s">
        <v>90</v>
      </c>
      <c r="C29" s="8" t="s">
        <v>486</v>
      </c>
      <c r="D29" s="8" t="s">
        <v>487</v>
      </c>
      <c r="E29" s="8" t="s">
        <v>488</v>
      </c>
      <c r="F29" s="8" t="s">
        <v>489</v>
      </c>
      <c r="G29" s="8" t="s">
        <v>490</v>
      </c>
      <c r="H29" s="8" t="s">
        <v>491</v>
      </c>
      <c r="I29" s="13" t="s">
        <v>487</v>
      </c>
      <c r="J29" s="8" t="s">
        <v>45</v>
      </c>
      <c r="K29" s="10">
        <v>46324.5</v>
      </c>
      <c r="L29" s="8" t="s">
        <v>492</v>
      </c>
    </row>
    <row r="30" ht="15.75" customHeight="1">
      <c r="A30" s="16" t="s">
        <v>493</v>
      </c>
      <c r="B30" s="16" t="s">
        <v>90</v>
      </c>
      <c r="C30" s="16" t="s">
        <v>494</v>
      </c>
      <c r="D30" s="16" t="s">
        <v>350</v>
      </c>
      <c r="E30" s="16" t="s">
        <v>349</v>
      </c>
      <c r="F30" s="16" t="s">
        <v>350</v>
      </c>
      <c r="G30" s="16" t="s">
        <v>495</v>
      </c>
      <c r="H30" s="16" t="s">
        <v>496</v>
      </c>
      <c r="I30" s="17" t="s">
        <v>350</v>
      </c>
      <c r="J30" s="16" t="s">
        <v>45</v>
      </c>
      <c r="K30" s="14">
        <v>46263.5</v>
      </c>
      <c r="L30" s="16" t="s">
        <v>497</v>
      </c>
    </row>
    <row r="31">
      <c r="A31" s="21" t="s">
        <v>498</v>
      </c>
      <c r="B31" s="21" t="s">
        <v>90</v>
      </c>
      <c r="C31" s="21" t="s">
        <v>499</v>
      </c>
      <c r="D31" s="21" t="s">
        <v>500</v>
      </c>
      <c r="E31" s="21" t="s">
        <v>501</v>
      </c>
      <c r="F31" s="21" t="s">
        <v>502</v>
      </c>
      <c r="G31" s="21" t="s">
        <v>503</v>
      </c>
      <c r="H31" s="21" t="s">
        <v>504</v>
      </c>
      <c r="I31" s="33" t="s">
        <v>505</v>
      </c>
      <c r="J31" s="21" t="s">
        <v>45</v>
      </c>
      <c r="K31" s="20">
        <v>46310.0</v>
      </c>
      <c r="L31" s="21" t="s">
        <v>506</v>
      </c>
    </row>
    <row r="32">
      <c r="A32" s="21" t="s">
        <v>507</v>
      </c>
      <c r="B32" s="21" t="s">
        <v>90</v>
      </c>
      <c r="C32" s="21" t="s">
        <v>508</v>
      </c>
      <c r="D32" s="21" t="s">
        <v>294</v>
      </c>
      <c r="E32" s="21" t="s">
        <v>509</v>
      </c>
      <c r="F32" s="21" t="s">
        <v>510</v>
      </c>
      <c r="G32" s="21" t="s">
        <v>511</v>
      </c>
      <c r="H32" s="21" t="s">
        <v>512</v>
      </c>
      <c r="I32" s="33" t="s">
        <v>513</v>
      </c>
      <c r="J32" s="21" t="s">
        <v>84</v>
      </c>
      <c r="K32" s="20">
        <v>46310.0</v>
      </c>
      <c r="L32" s="21" t="s">
        <v>514</v>
      </c>
    </row>
    <row r="33">
      <c r="A33" s="21" t="s">
        <v>515</v>
      </c>
      <c r="B33" s="21" t="s">
        <v>90</v>
      </c>
      <c r="C33" s="21" t="s">
        <v>516</v>
      </c>
      <c r="D33" s="21" t="s">
        <v>464</v>
      </c>
      <c r="E33" s="21" t="s">
        <v>501</v>
      </c>
      <c r="F33" s="21" t="s">
        <v>517</v>
      </c>
      <c r="G33" s="21" t="s">
        <v>518</v>
      </c>
      <c r="H33" s="21" t="s">
        <v>519</v>
      </c>
      <c r="I33" s="33" t="s">
        <v>520</v>
      </c>
      <c r="J33" s="21" t="s">
        <v>45</v>
      </c>
      <c r="K33" s="20">
        <v>46310.0</v>
      </c>
      <c r="L33" s="21" t="s">
        <v>521</v>
      </c>
    </row>
    <row r="34">
      <c r="A34" s="21" t="s">
        <v>522</v>
      </c>
      <c r="B34" s="21" t="s">
        <v>90</v>
      </c>
      <c r="C34" s="21" t="s">
        <v>523</v>
      </c>
      <c r="D34" s="21" t="s">
        <v>524</v>
      </c>
      <c r="E34" s="21" t="s">
        <v>525</v>
      </c>
      <c r="F34" s="21" t="s">
        <v>526</v>
      </c>
      <c r="G34" s="21" t="s">
        <v>527</v>
      </c>
      <c r="H34" s="21" t="s">
        <v>528</v>
      </c>
      <c r="I34" s="33" t="s">
        <v>529</v>
      </c>
      <c r="J34" s="21" t="s">
        <v>45</v>
      </c>
      <c r="K34" s="20">
        <v>46310.0</v>
      </c>
      <c r="L34" s="21" t="s">
        <v>521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:L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